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49985714f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96a55e9adc4595"/>
    <x:sheet xmlns:r="http://schemas.openxmlformats.org/officeDocument/2006/relationships" name="Catalogue Audit" sheetId="2" r:id="R0fc4f009ca614beb"/>
    <x:sheet xmlns:r="http://schemas.openxmlformats.org/officeDocument/2006/relationships" name="Review Queue" sheetId="3" r:id="R07970c73914a490a"/>
    <x:sheet xmlns:r="http://schemas.openxmlformats.org/officeDocument/2006/relationships" name="Groups" sheetId="4" r:id="R4187acf5205d4cb6"/>
    <x:sheet xmlns:r="http://schemas.openxmlformats.org/officeDocument/2006/relationships" name="Icon Colour Guide" sheetId="5" r:id="R6a52289d6eda4258"/>
    <x:sheet xmlns:r="http://schemas.openxmlformats.org/officeDocument/2006/relationships" name="Method" sheetId="6" r:id="R8df90cecc8bb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12B"/>
      <x:name val="Carlito"/>
    </x:font>
    <x:font>
      <x:b/>
      <x:sz val="10"/>
      <x:color rgb="FFFFFFFF"/>
      <x:name val="Carlito"/>
    </x:font>
    <x:font>
      <x:sz val="11"/>
      <x:color rgb="FF17212B"/>
      <x:name val="Carlito"/>
    </x:font>
    <x:font>
      <x:b/>
      <x:sz val="11"/>
      <x:color rgb="FF17212B"/>
      <x:name val="Carlito"/>
    </x:font>
    <x:font>
      <x:b/>
      <x:sz val="11"/>
      <x:color rgb="FFFFFFFF"/>
      <x:name val="Carlito"/>
    </x:font>
  </x:fonts>
  <x:fills count="39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FF7F3"/>
      </x:patternFill>
    </x:fill>
    <x:fill>
      <x:patternFill patternType="solid">
        <x:fgColor rgb="FF0F766E"/>
      </x:patternFill>
    </x:fill>
    <x:fill>
      <x:patternFill patternType="solid">
        <x:fgColor rgb="FFE8F3F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777777"/>
      </x:patternFill>
    </x:fill>
    <x:fill>
      <x:patternFill patternType="solid">
        <x:fgColor rgb="FF0F8B8D"/>
      </x:patternFill>
    </x:fill>
    <x:fill>
      <x:patternFill patternType="solid">
        <x:fgColor rgb="FF246BCE"/>
      </x:patternFill>
    </x:fill>
    <x:fill>
      <x:patternFill patternType="solid">
        <x:fgColor rgb="FF7A5AF8"/>
      </x:patternFill>
    </x:fill>
    <x:fill>
      <x:patternFill patternType="solid">
        <x:fgColor rgb="FFE05D5D"/>
      </x:patternFill>
    </x:fill>
    <x:fill>
      <x:patternFill patternType="solid">
        <x:fgColor rgb="FF2E9D63"/>
      </x:patternFill>
    </x:fill>
    <x:fill>
      <x:patternFill patternType="solid">
        <x:fgColor rgb="FFE08A1E"/>
      </x:patternFill>
    </x:fill>
    <x:fill>
      <x:patternFill patternType="solid">
        <x:fgColor rgb="FFB34FA2"/>
      </x:patternFill>
    </x:fill>
    <x:fill>
      <x:patternFill patternType="solid">
        <x:fgColor rgb="FF477A8B"/>
      </x:patternFill>
    </x:fill>
    <x:fill>
      <x:patternFill patternType="solid">
        <x:fgColor rgb="FF6D7F2B"/>
      </x:patternFill>
    </x:fill>
    <x:fill>
      <x:patternFill patternType="solid">
        <x:fgColor rgb="FF8E6548"/>
      </x:patternFill>
    </x:fill>
    <x:fill>
      <x:patternFill patternType="solid">
        <x:fgColor rgb="FF5B6BC0"/>
      </x:patternFill>
    </x:fill>
    <x:fill>
      <x:patternFill patternType="solid">
        <x:fgColor rgb="FF008F7A"/>
      </x:patternFill>
    </x:fill>
    <x:fill>
      <x:patternFill patternType="solid">
        <x:fgColor rgb="FFC05C84"/>
      </x:patternFill>
    </x:fill>
    <x:fill>
      <x:patternFill patternType="solid">
        <x:fgColor rgb="FF55778C"/>
      </x:patternFill>
    </x:fill>
    <x:fill>
      <x:patternFill patternType="solid">
        <x:fgColor rgb="FF64748B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DC2626"/>
      </x:patternFill>
    </x:fill>
    <x:fill>
      <x:patternFill patternType="solid">
        <x:fgColor rgb="FF475569"/>
      </x:patternFill>
    </x:fill>
    <x:fill>
      <x:patternFill patternType="solid">
        <x:fgColor rgb="FFDB2777"/>
      </x:patternFill>
    </x:fill>
    <x:fill>
      <x:patternFill patternType="solid">
        <x:fgColor rgb="FFEC4899"/>
      </x:patternFill>
    </x:fill>
    <x:fill>
      <x:patternFill patternType="solid">
        <x:fgColor rgb="FFF97316"/>
      </x:patternFill>
    </x:fill>
    <x:fill>
      <x:patternFill patternType="solid">
        <x:fgColor rgb="FFD97706"/>
      </x:patternFill>
    </x:fill>
    <x:fill>
      <x:patternFill patternType="solid">
        <x:fgColor rgb="FFB45309"/>
      </x:patternFill>
    </x:fill>
    <x:fill>
      <x:patternFill patternType="solid">
        <x:fgColor rgb="FF6B7280"/>
      </x:patternFill>
    </x:fill>
    <x:fill>
      <x:patternFill patternType="solid">
        <x:fgColor rgb="FF0EA5E9"/>
      </x:patternFill>
    </x:fill>
    <x:fill>
      <x:patternFill patternType="solid">
        <x:fgColor rgb="FF059669"/>
      </x:patternFill>
    </x:fill>
    <x:fill>
      <x:patternFill patternType="solid">
        <x:fgColor rgb="FF9333EA"/>
      </x:patternFill>
    </x:fill>
    <x:fill>
      <x:patternFill patternType="solid">
        <x:fgColor rgb="FF0891B2"/>
      </x:patternFill>
    </x:fill>
  </x:fills>
  <x:borders count="8">
    <x:border/>
    <x:border>
      <x:left style="thin">
        <x:color rgb="FFD6E2EA"/>
      </x:left>
      <x:top style="thin">
        <x:color rgb="FFD6E2EA"/>
      </x:top>
      <x:bottom style="thin">
        <x:color rgb="FFD6E2EA"/>
      </x:bottom>
    </x:border>
    <x:border>
      <x:top style="thin">
        <x:color rgb="FFD6E2EA"/>
      </x:top>
      <x:bottom style="thin">
        <x:color rgb="FFD6E2EA"/>
      </x:bottom>
    </x:border>
    <x:border>
      <x:right style="thin">
        <x:color rgb="FFD6E2EA"/>
      </x:right>
      <x:top style="thin">
        <x:color rgb="FFD6E2EA"/>
      </x:top>
      <x:bottom style="thin">
        <x:color rgb="FFD6E2EA"/>
      </x:bottom>
    </x:border>
    <x:border>
      <x:left style="thin">
        <x:color rgb="FFD6E2EA"/>
      </x:left>
      <x:right style="thin">
        <x:color rgb="FFD6E2EA"/>
      </x:right>
      <x:top style="thin">
        <x:color rgb="FFD6E2EA"/>
      </x:top>
      <x:bottom style="thin">
        <x:color rgb="FFD6E2EA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1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/>
    </x:xf>
    <x:xf numFmtId="201" fontId="0" fillId="9" borderId="0" xfId="0" applyNumberFormat="1" applyFont="1" applyFill="1" applyBorder="1" applyAlignment="1">
      <x:alignment vertical="top" wrapText="1"/>
    </x:xf>
    <x:xf numFmtId="201" fontId="6" fillId="9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201" fontId="0" fillId="10" borderId="0" xfId="0" applyNumberFormat="1" applyFont="1" applyFill="1" applyBorder="1" applyAlignment="1">
      <x:alignment vertical="top" wrapText="1"/>
    </x:xf>
    <x:xf numFmtId="201" fontId="6" fillId="10" borderId="0" xfId="0" applyNumberFormat="1" applyFont="1" applyFill="1" applyBorder="1" applyAlignment="1">
      <x:alignment vertical="top" wrapText="1"/>
    </x:xf>
    <x:xf numFmtId="201" fontId="0" fillId="11" borderId="0" xfId="0" applyNumberFormat="1" applyFont="1" applyFill="1" applyBorder="1" applyAlignment="1">
      <x:alignment vertical="top" wrapText="1"/>
    </x:xf>
    <x:xf numFmtId="201" fontId="6" fillId="11" borderId="0" xfId="0" applyNumberFormat="1" applyFont="1" applyFill="1" applyBorder="1" applyAlignment="1">
      <x:alignment vertical="top" wrapText="1"/>
    </x:xf>
    <x:xf numFmtId="201" fontId="0" fillId="12" borderId="0" xfId="0" applyNumberFormat="1" applyFont="1" applyFill="1" applyBorder="1" applyAlignment="1">
      <x:alignment vertical="top" wrapText="1"/>
    </x:xf>
    <x:xf numFmtId="201" fontId="6" fillId="12" borderId="0" xfId="0" applyNumberFormat="1" applyFont="1" applyFill="1" applyBorder="1" applyAlignment="1">
      <x:alignment vertical="top" wrapText="1"/>
    </x:xf>
    <x:xf numFmtId="201" fontId="0" fillId="13" borderId="0" xfId="0" applyNumberFormat="1" applyFont="1" applyFill="1" applyBorder="1" applyAlignment="1">
      <x:alignment vertical="top" wrapText="1"/>
    </x:xf>
    <x:xf numFmtId="201" fontId="6" fillId="13" borderId="0" xfId="0" applyNumberFormat="1" applyFont="1" applyFill="1" applyBorder="1" applyAlignment="1">
      <x:alignment vertical="top" wrapText="1"/>
    </x:xf>
    <x:xf numFmtId="201" fontId="0" fillId="14" borderId="0" xfId="0" applyNumberFormat="1" applyFont="1" applyFill="1" applyBorder="1" applyAlignment="1">
      <x:alignment vertical="top" wrapText="1"/>
    </x:xf>
    <x:xf numFmtId="201" fontId="6" fillId="14" borderId="0" xfId="0" applyNumberFormat="1" applyFont="1" applyFill="1" applyBorder="1" applyAlignment="1">
      <x:alignment vertical="top" wrapText="1"/>
    </x:xf>
    <x:xf numFmtId="201" fontId="0" fillId="15" borderId="0" xfId="0" applyNumberFormat="1" applyFont="1" applyFill="1" applyBorder="1" applyAlignment="1">
      <x:alignment vertical="top" wrapText="1"/>
    </x:xf>
    <x:xf numFmtId="201" fontId="6" fillId="15" borderId="0" xfId="0" applyNumberFormat="1" applyFont="1" applyFill="1" applyBorder="1" applyAlignment="1">
      <x:alignment vertical="top" wrapText="1"/>
    </x:xf>
    <x:xf numFmtId="201" fontId="0" fillId="16" borderId="0" xfId="0" applyNumberFormat="1" applyFont="1" applyFill="1" applyBorder="1" applyAlignment="1">
      <x:alignment vertical="top" wrapText="1"/>
    </x:xf>
    <x:xf numFmtId="201" fontId="6" fillId="16" borderId="0" xfId="0" applyNumberFormat="1" applyFont="1" applyFill="1" applyBorder="1" applyAlignment="1">
      <x:alignment vertical="top" wrapText="1"/>
    </x:xf>
    <x:xf numFmtId="201" fontId="0" fillId="17" borderId="0" xfId="0" applyNumberFormat="1" applyFont="1" applyFill="1" applyBorder="1" applyAlignment="1">
      <x:alignment vertical="top" wrapText="1"/>
    </x:xf>
    <x:xf numFmtId="201" fontId="6" fillId="17" borderId="0" xfId="0" applyNumberFormat="1" applyFont="1" applyFill="1" applyBorder="1" applyAlignment="1">
      <x:alignment vertical="top" wrapText="1"/>
    </x:xf>
    <x:xf numFmtId="201" fontId="0" fillId="18" borderId="0" xfId="0" applyNumberFormat="1" applyFont="1" applyFill="1" applyBorder="1" applyAlignment="1">
      <x:alignment vertical="top" wrapText="1"/>
    </x:xf>
    <x:xf numFmtId="201" fontId="6" fillId="18" borderId="0" xfId="0" applyNumberFormat="1" applyFont="1" applyFill="1" applyBorder="1" applyAlignment="1">
      <x:alignment vertical="top" wrapText="1"/>
    </x:xf>
    <x:xf numFmtId="201" fontId="0" fillId="19" borderId="0" xfId="0" applyNumberFormat="1" applyFont="1" applyFill="1" applyBorder="1" applyAlignment="1">
      <x:alignment vertical="top" wrapText="1"/>
    </x:xf>
    <x:xf numFmtId="201" fontId="6" fillId="19" borderId="0" xfId="0" applyNumberFormat="1" applyFont="1" applyFill="1" applyBorder="1" applyAlignment="1">
      <x:alignment vertical="top" wrapText="1"/>
    </x:xf>
    <x:xf numFmtId="201" fontId="0" fillId="20" borderId="0" xfId="0" applyNumberFormat="1" applyFont="1" applyFill="1" applyBorder="1" applyAlignment="1">
      <x:alignment vertical="top" wrapText="1"/>
    </x:xf>
    <x:xf numFmtId="201" fontId="6" fillId="20" borderId="0" xfId="0" applyNumberFormat="1" applyFont="1" applyFill="1" applyBorder="1" applyAlignment="1">
      <x:alignment vertical="top" wrapText="1"/>
    </x:xf>
    <x:xf numFmtId="201" fontId="0" fillId="21" borderId="0" xfId="0" applyNumberFormat="1" applyFont="1" applyFill="1" applyBorder="1" applyAlignment="1">
      <x:alignment vertical="top" wrapText="1"/>
    </x:xf>
    <x:xf numFmtId="201" fontId="6" fillId="21" borderId="0" xfId="0" applyNumberFormat="1" applyFont="1" applyFill="1" applyBorder="1" applyAlignment="1">
      <x:alignment vertical="top" wrapText="1"/>
    </x:xf>
    <x:xf numFmtId="201" fontId="0" fillId="22" borderId="0" xfId="0" applyNumberFormat="1" applyFont="1" applyFill="1" applyBorder="1" applyAlignment="1">
      <x:alignment vertical="top" wrapText="1"/>
    </x:xf>
    <x:xf numFmtId="201" fontId="6" fillId="22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6" fillId="2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0" fillId="23" borderId="0" xfId="0" applyNumberFormat="1" applyFont="1" applyFill="1" applyBorder="1"/>
    <x:xf numFmtId="0" fontId="6" fillId="23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6" fillId="4" borderId="0" xfId="0" applyNumberFormat="1" applyFont="1" applyFill="1" applyBorder="1"/>
    <x:xf numFmtId="0" fontId="0" fillId="27" borderId="0" xfId="0" applyNumberFormat="1" applyFont="1" applyFill="1" applyBorder="1"/>
    <x:xf numFmtId="0" fontId="6" fillId="27" borderId="0" xfId="0" applyNumberFormat="1" applyFont="1" applyFill="1" applyBorder="1"/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0" fillId="30" borderId="0" xfId="0" applyNumberFormat="1" applyFont="1" applyFill="1" applyBorder="1"/>
    <x:xf numFmtId="0" fontId="6" fillId="30" borderId="0" xfId="0" applyNumberFormat="1" applyFont="1" applyFill="1" applyBorder="1"/>
    <x:xf numFmtId="0" fontId="0" fillId="31" borderId="0" xfId="0" applyNumberFormat="1" applyFont="1" applyFill="1" applyBorder="1"/>
    <x:xf numFmtId="0" fontId="6" fillId="31" borderId="0" xfId="0" applyNumberFormat="1" applyFont="1" applyFill="1" applyBorder="1"/>
    <x:xf numFmtId="0" fontId="0" fillId="32" borderId="0" xfId="0" applyNumberFormat="1" applyFont="1" applyFill="1" applyBorder="1"/>
    <x:xf numFmtId="0" fontId="6" fillId="32" borderId="0" xfId="0" applyNumberFormat="1" applyFont="1" applyFill="1" applyBorder="1"/>
    <x:xf numFmtId="0" fontId="0" fillId="33" borderId="0" xfId="0" applyNumberFormat="1" applyFont="1" applyFill="1" applyBorder="1"/>
    <x:xf numFmtId="0" fontId="6" fillId="33" borderId="0" xfId="0" applyNumberFormat="1" applyFont="1" applyFill="1" applyBorder="1"/>
    <x:xf numFmtId="0" fontId="0" fillId="34" borderId="0" xfId="0" applyNumberFormat="1" applyFont="1" applyFill="1" applyBorder="1"/>
    <x:xf numFmtId="0" fontId="6" fillId="34" borderId="0" xfId="0" applyNumberFormat="1" applyFont="1" applyFill="1" applyBorder="1"/>
    <x:xf numFmtId="0" fontId="0" fillId="35" borderId="0" xfId="0" applyNumberFormat="1" applyFont="1" applyFill="1" applyBorder="1"/>
    <x:xf numFmtId="0" fontId="6" fillId="35" borderId="0" xfId="0" applyNumberFormat="1" applyFont="1" applyFill="1" applyBorder="1"/>
    <x:xf numFmtId="0" fontId="0" fillId="36" borderId="0" xfId="0" applyNumberFormat="1" applyFont="1" applyFill="1" applyBorder="1"/>
    <x:xf numFmtId="0" fontId="6" fillId="36" borderId="0" xfId="0" applyNumberFormat="1" applyFont="1" applyFill="1" applyBorder="1"/>
    <x:xf numFmtId="0" fontId="0" fillId="37" borderId="0" xfId="0" applyNumberFormat="1" applyFont="1" applyFill="1" applyBorder="1"/>
    <x:xf numFmtId="0" fontId="6" fillId="37" borderId="0" xfId="0" applyNumberFormat="1" applyFont="1" applyFill="1" applyBorder="1"/>
    <x:xf numFmtId="0" fontId="0" fillId="38" borderId="0" xfId="0" applyNumberFormat="1" applyFont="1" applyFill="1" applyBorder="1"/>
    <x:xf numFmtId="0" fontId="6" fillId="38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6" fillId="24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wrapText="1"/>
    </x:xf>
    <x:xf numFmtId="0" fontId="6" fillId="26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27" borderId="0" xfId="0" applyNumberFormat="1" applyFont="1" applyFill="1" applyBorder="1" applyAlignment="1">
      <x:alignment wrapText="1"/>
    </x:xf>
    <x:xf numFmtId="0" fontId="6" fillId="28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6" fillId="29" borderId="0" xfId="0" applyNumberFormat="1" applyFont="1" applyFill="1" applyBorder="1" applyAlignment="1">
      <x:alignment wrapText="1"/>
    </x:xf>
    <x:xf numFmtId="0" fontId="6" fillId="30" borderId="0" xfId="0" applyNumberFormat="1" applyFont="1" applyFill="1" applyBorder="1" applyAlignment="1">
      <x:alignment wrapText="1"/>
    </x:xf>
    <x:xf numFmtId="0" fontId="6" fillId="31" borderId="0" xfId="0" applyNumberFormat="1" applyFont="1" applyFill="1" applyBorder="1" applyAlignment="1">
      <x:alignment wrapText="1"/>
    </x:xf>
    <x:xf numFmtId="0" fontId="6" fillId="32" borderId="0" xfId="0" applyNumberFormat="1" applyFont="1" applyFill="1" applyBorder="1" applyAlignment="1">
      <x:alignment wrapText="1"/>
    </x:xf>
    <x:xf numFmtId="0" fontId="6" fillId="33" borderId="0" xfId="0" applyNumberFormat="1" applyFont="1" applyFill="1" applyBorder="1" applyAlignment="1">
      <x:alignment wrapText="1"/>
    </x:xf>
    <x:xf numFmtId="0" fontId="6" fillId="34" borderId="0" xfId="0" applyNumberFormat="1" applyFont="1" applyFill="1" applyBorder="1" applyAlignment="1">
      <x:alignment wrapText="1"/>
    </x:xf>
    <x:xf numFmtId="0" fontId="6" fillId="35" borderId="0" xfId="0" applyNumberFormat="1" applyFont="1" applyFill="1" applyBorder="1" applyAlignment="1">
      <x:alignment wrapText="1"/>
    </x:xf>
    <x:xf numFmtId="0" fontId="6" fillId="36" borderId="0" xfId="0" applyNumberFormat="1" applyFont="1" applyFill="1" applyBorder="1" applyAlignment="1">
      <x:alignment wrapText="1"/>
    </x:xf>
    <x:xf numFmtId="0" fontId="6" fillId="37" borderId="0" xfId="0" applyNumberFormat="1" applyFont="1" applyFill="1" applyBorder="1" applyAlignment="1">
      <x:alignment wrapText="1"/>
    </x:xf>
    <x:xf numFmtId="0" fontId="6" fillId="3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307fb604742f7" /><Relationship Type="http://schemas.openxmlformats.org/officeDocument/2006/relationships/theme" Target="/xl/theme/theme1.xml" Id="Rb9fc14d70b4e41f7" /><Relationship Type="http://schemas.microsoft.com/office/2022/11/relationships/FeaturePropertyBag" Target="/xl/featurePropertyBag/featurePropertyBag.xml" Id="Rd7860004737446d5" /><Relationship Type="http://schemas.openxmlformats.org/officeDocument/2006/relationships/sharedStrings" Target="/xl/sharedStrings.xml" Id="R876227a3da874d43" /><Relationship Type="http://schemas.openxmlformats.org/officeDocument/2006/relationships/worksheet" Target="/xl/worksheets/sheet1.xml" Id="Rea96a55e9adc4595" /><Relationship Type="http://schemas.openxmlformats.org/officeDocument/2006/relationships/worksheet" Target="/xl/worksheets/sheet2.xml" Id="R0fc4f009ca614beb" /><Relationship Type="http://schemas.openxmlformats.org/officeDocument/2006/relationships/worksheet" Target="/xl/worksheets/sheet3.xml" Id="R07970c73914a490a" /><Relationship Type="http://schemas.openxmlformats.org/officeDocument/2006/relationships/worksheet" Target="/xl/worksheets/sheet4.xml" Id="R4187acf5205d4cb6" /><Relationship Type="http://schemas.openxmlformats.org/officeDocument/2006/relationships/worksheet" Target="/xl/worksheets/sheet5.xml" Id="R6a52289d6eda4258" /><Relationship Type="http://schemas.openxmlformats.org/officeDocument/2006/relationships/worksheet" Target="/xl/worksheets/sheet6.xml" Id="R8df90cecc8bb4d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ueAuditTable" displayName="CatalogueAuditTable" ref="A5:V284" headerRowCount="1" totalsRowCount="0" totalsRowShown="0">
  <x:autoFilter ref="A5:V284"/>
  <x:tableColumns count="22">
    <x:tableColumn id="1" name="Group source ID"/>
    <x:tableColumn id="2" name="Source code"/>
    <x:tableColumn id="3" name="Group — Greek"/>
    <x:tableColumn id="4" name="Procedure — Greek (source)"/>
    <x:tableColumn id="5" name="English draft"/>
    <x:tableColumn id="6" name="German draft"/>
    <x:tableColumn id="7" name="Base price"/>
    <x:tableColumn id="8" name="Tooth required (source)"/>
    <x:tableColumn id="9" name="Suggested workflow"/>
    <x:tableColumn id="10" name="Suggested target"/>
    <x:tableColumn id="11" name="Current overlay key"/>
    <x:tableColumn id="12" name="Future icon suggestion"/>
    <x:tableColumn id="13" name="Material / brand family"/>
    <x:tableColumn id="14" name="Suggested colour (HEX)"/>
    <x:tableColumn id="15" name="Translation confidence"/>
    <x:tableColumn id="16" name="Mapping confidence"/>
    <x:tableColumn id="17" name="Mapping rule / reason"/>
    <x:tableColumn id="18" name="Translation note"/>
    <x:tableColumn id="19" name="Review needed"/>
    <x:tableColumn id="20" name="Reviewer decision"/>
    <x:tableColumn id="21" name="Reviewer notes"/>
    <x:tableColumn id="22" name="Source record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QueueTable" displayName="ReviewQueueTable" ref="A5:N88" headerRowCount="1" totalsRowCount="0" totalsRowShown="0">
  <x:autoFilter ref="A5:N88"/>
  <x:tableColumns count="14">
    <x:tableColumn id="1" name="Group ID"/>
    <x:tableColumn id="2" name="Source code"/>
    <x:tableColumn id="3" name="Group — Greek"/>
    <x:tableColumn id="4" name="Procedure — Greek"/>
    <x:tableColumn id="5" name="English draft"/>
    <x:tableColumn id="6" name="German draft"/>
    <x:tableColumn id="7" name="Suggested workflow"/>
    <x:tableColumn id="8" name="Target"/>
    <x:tableColumn id="9" name="Current overlay"/>
    <x:tableColumn id="10" name="Future icon"/>
    <x:tableColumn id="11" name="Colour"/>
    <x:tableColumn id="12" name="Translation confidence"/>
    <x:tableColumn id="13" name="Mapping confidence"/>
    <x:tableColumn id="14" name="Why review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TherapyGroupsTable" displayName="TherapyGroupsTable" ref="A5:J20" headerRowCount="1" totalsRowCount="0" totalsRowShown="0">
  <x:autoFilter ref="A5:J20"/>
  <x:tableColumns count="10">
    <x:tableColumn id="1" name="Source ID"/>
    <x:tableColumn id="2" name="Greek source name"/>
    <x:tableColumn id="3" name="English draft"/>
    <x:tableColumn id="4" name="German draft"/>
    <x:tableColumn id="5" name="Source colour"/>
    <x:tableColumn id="6" name="Procedure count"/>
    <x:tableColumn id="7" name="Suggested default colour"/>
    <x:tableColumn id="8" name="Hidden"/>
    <x:tableColumn id="9" name="Review status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conColourGuideTable" displayName="IconColourGuideTable" ref="A5:H24" headerRowCount="1" totalsRowCount="0" totalsRowShown="0">
  <x:tableColumns count="8">
    <x:tableColumn id="1" name="Icon key"/>
    <x:tableColumn id="2" name="Meaning"/>
    <x:tableColumn id="3" name="Implemented now"/>
    <x:tableColumn id="4" name="Typical workflow"/>
    <x:tableColumn id="5" name="Visual placement"/>
    <x:tableColumn id="6" name="Suggested default"/>
    <x:tableColumn id="7" name="Material variants"/>
    <x:tableColumn id="8" name="No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ethodTable" displayName="MethodTable" ref="A5:C15" headerRowCount="1" totalsRowCount="0" totalsRowShown="0">
  <x:tableColumns count="3">
    <x:tableColumn id="1" name="Topic"/>
    <x:tableColumn id="2" name="Method / decision"/>
    <x:tableColumn id="3" name="Why it mat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dd9ac9eea44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bf6ebf45e94b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be24a485e244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bf40f2721646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dbca58b03d49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3" hidden="0" customWidth="1"/>
    <x:col min="4" max="4" width="31" hidden="0" customWidth="1"/>
    <x:col min="5" max="5" width="14" hidden="0" customWidth="1"/>
    <x:col min="6" max="6" width="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4" t="str">
        <x:v>Apexo × DentalWin — Therapy Catalogue Audit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hidden="0" customHeight="1">
      <x:c r="A3" s="13" t="str">
        <x:v>Read-only review workbook. No catalogue records were modified. Draft translations, workflow classifications, icons, and colours require approval before any import/update.</x:v>
      </x:c>
      <x:c r="B3" s="14"/>
      <x:c r="C3" s="14"/>
      <x:c r="D3" s="14"/>
      <x:c r="E3" s="14"/>
      <x:c r="F3" s="14"/>
      <x:c r="G3" s="14"/>
      <x:c r="H3" s="14"/>
      <x:c r="I3" s="14"/>
      <x:c r="J3" s="15"/>
    </x:row>
    <x:row r="4"/>
    <x:row r="5" ht="24" hidden="0" customHeight="1">
      <x:c r="A5" s="20" t="str">
        <x:v>Audit metric</x:v>
      </x:c>
      <x:c r="B5" s="20" t="str">
        <x:v>Value</x:v>
      </x:c>
      <x:c r="C5" s="35"/>
      <x:c r="D5" s="20" t="str">
        <x:v>Suggested workflow</x:v>
      </x:c>
      <x:c r="E5" s="20" t="str">
        <x:v>Count</x:v>
      </x:c>
      <x:c r="F5" s="35"/>
      <x:c r="G5" s="20" t="str">
        <x:v>How to review</x:v>
      </x:c>
      <x:c r="H5" s="20"/>
      <x:c r="I5" s="20"/>
      <x:c r="J5" s="20"/>
    </x:row>
    <x:row r="6" ht="15" hidden="0" customHeight="1">
      <x:c r="A6" s="36" t="str">
        <x:v>Total procedures</x:v>
      </x:c>
      <x:c r="B6" s="36" t="n">
        <x:f>COUNTA('Catalogue Audit'!$D$6:$D$284)</x:f>
        <x:v>279</x:v>
      </x:c>
      <x:c r="C6" s="35"/>
      <x:c r="D6" s="36" t="str">
        <x:v>Surface-based</x:v>
      </x:c>
      <x:c r="E6" s="36" t="n">
        <x:f>COUNTIF('Catalogue Audit'!$I$6:$I$284,D6)</x:f>
        <x:v>52</x:v>
      </x:c>
      <x:c r="F6" s="35"/>
      <x:c r="G6" s="37" t="str">
        <x:v>1. Filter Catalogue Audit by Review needed = Yes or open Review Queue.
2. Confirm the automatic workflow, target, and overlay/icon.
3. Review the English/German drafts, especially rows marked Needs review.
4. Source group colours are retained by default; override a treatment only when intentionally desired.
5. Set Reviewer decision to Approve, Change, Skip, or Needs discussion.
This workbook is a proposal—not a clinical or accounting source of truth.</x:v>
      </x:c>
      <x:c r="H6" s="37"/>
      <x:c r="I6" s="37"/>
      <x:c r="J6" s="37"/>
    </x:row>
    <x:row r="7" ht="15" hidden="0" customHeight="1">
      <x:c r="A7" s="36" t="str">
        <x:v>Procedures needing review</x:v>
      </x:c>
      <x:c r="B7" s="36" t="n">
        <x:f>COUNTIF('Catalogue Audit'!$S$6:$S$284,"Yes")</x:f>
        <x:v>83</x:v>
      </x:c>
      <x:c r="C7" s="35"/>
      <x:c r="D7" s="36" t="str">
        <x:v>Whole tooth</x:v>
      </x:c>
      <x:c r="E7" s="36" t="n">
        <x:f>COUNTIF('Catalogue Audit'!$I$6:$I$284,D7)</x:f>
        <x:v>118</x:v>
      </x:c>
      <x:c r="F7" s="35"/>
      <x:c r="G7" s="37"/>
      <x:c r="H7" s="37"/>
      <x:c r="I7" s="37"/>
      <x:c r="J7" s="37"/>
    </x:row>
    <x:row r="8" ht="15" hidden="0" customHeight="1">
      <x:c r="A8" s="36" t="str">
        <x:v>High-confidence workflow mappings</x:v>
      </x:c>
      <x:c r="B8" s="36" t="n">
        <x:f>COUNTIF('Catalogue Audit'!$P$6:$P$284,"High")</x:f>
        <x:v>199</x:v>
      </x:c>
      <x:c r="C8" s="35"/>
      <x:c r="D8" s="36" t="str">
        <x:v>Bridge</x:v>
      </x:c>
      <x:c r="E8" s="36" t="n">
        <x:f>COUNTIF('Catalogue Audit'!$I$6:$I$284,D8)</x:f>
        <x:v>14</x:v>
      </x:c>
      <x:c r="F8" s="35"/>
      <x:c r="G8" s="37"/>
      <x:c r="H8" s="37"/>
      <x:c r="I8" s="37"/>
      <x:c r="J8" s="37"/>
    </x:row>
    <x:row r="9" ht="15" hidden="0" customHeight="1">
      <x:c r="A9" s="36" t="str">
        <x:v>High-confidence translations</x:v>
      </x:c>
      <x:c r="B9" s="36" t="n">
        <x:f>COUNTIF('Catalogue Audit'!$O$6:$O$284,"High")</x:f>
        <x:v>103</x:v>
      </x:c>
      <x:c r="C9" s="35"/>
      <x:c r="D9" s="36" t="str">
        <x:v>Removable prosthesis</x:v>
      </x:c>
      <x:c r="E9" s="36" t="n">
        <x:f>COUNTIF('Catalogue Audit'!$I$6:$I$284,D9)</x:f>
        <x:v>34</x:v>
      </x:c>
      <x:c r="F9" s="35"/>
      <x:c r="G9" s="37"/>
      <x:c r="H9" s="37"/>
      <x:c r="I9" s="37"/>
      <x:c r="J9" s="37"/>
    </x:row>
    <x:row r="10" ht="15" hidden="0" customHeight="1">
      <x:c r="A10" s="36" t="str">
        <x:v>Imported therapy groups</x:v>
      </x:c>
      <x:c r="B10" s="36" t="n">
        <x:f>COUNTA(Groups!$A$6:$A$20)</x:f>
        <x:v>15</x:v>
      </x:c>
      <x:c r="C10" s="35"/>
      <x:c r="D10" s="36" t="str">
        <x:v>Patient-level / history only</x:v>
      </x:c>
      <x:c r="E10" s="36" t="n">
        <x:f>COUNTIF('Catalogue Audit'!$I$6:$I$284,D10)</x:f>
        <x:v>61</x:v>
      </x:c>
      <x:c r="F10" s="35"/>
      <x:c r="G10" s="37"/>
      <x:c r="H10" s="37"/>
      <x:c r="I10" s="37"/>
      <x:c r="J10" s="37"/>
    </x:row>
    <x:row r="11" ht="15" hidden="0" customHeight="1">
      <x:c r="A11" s="35"/>
      <x:c r="B11" s="35"/>
      <x:c r="C11" s="35"/>
      <x:c r="D11" s="36" t="str">
        <x:v>Other</x:v>
      </x:c>
      <x:c r="E11" s="36" t="n">
        <x:f>B6-SUM(E6:E10)</x:f>
        <x:v>0</x:v>
      </x:c>
      <x:c r="F11" s="35"/>
      <x:c r="G11" s="37"/>
      <x:c r="H11" s="37"/>
      <x:c r="I11" s="37"/>
      <x:c r="J11" s="37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</x:row>
    <x:row r="13" ht="26.399999618530273" hidden="0" customHeight="1">
      <x:c r="A13" s="38" t="str">
        <x:v>Important: implemented overlay keys are currently limited to none, filling, crown, rootCanal, extraction, implant, and bridge. The Future icon column deliberately proposes a broader vocabulary for later design work.</x:v>
      </x:c>
      <x:c r="B13" s="39"/>
      <x:c r="C13" s="39"/>
      <x:c r="D13" s="39"/>
      <x:c r="E13" s="39"/>
      <x:c r="F13" s="39"/>
      <x:c r="G13" s="39"/>
      <x:c r="H13" s="39"/>
      <x:c r="I13" s="39"/>
      <x:c r="J13" s="40"/>
    </x:row>
  </x:sheetData>
  <x:mergeCells>
    <x:mergeCell ref="A1:J2"/>
    <x:mergeCell ref="A3:J3"/>
    <x:mergeCell ref="G5:J5"/>
    <x:mergeCell ref="G6:J11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36" hidden="0" customWidth="1"/>
    <x:col min="5" max="5" width="38" hidden="0" customWidth="1"/>
    <x:col min="6" max="6" width="38" hidden="0" customWidth="1"/>
    <x:col min="7" max="7" width="12" hidden="0" customWidth="1"/>
    <x:col min="8" max="8" width="16" hidden="0" customWidth="1"/>
    <x:col min="9" max="9" width="23" hidden="0" customWidth="1"/>
    <x:col min="10" max="10" width="28" hidden="0" customWidth="1"/>
    <x:col min="11" max="11" width="18" hidden="0" customWidth="1"/>
    <x:col min="12" max="12" width="23" hidden="0" customWidth="1"/>
    <x:col min="13" max="13" width="23" hidden="0" customWidth="1"/>
    <x:col min="14" max="14" width="18" hidden="0" customWidth="1"/>
    <x:col min="15" max="15" width="18" hidden="0" customWidth="1"/>
    <x:col min="16" max="16" width="18" hidden="0" customWidth="1"/>
    <x:col min="17" max="17" width="42" hidden="0" customWidth="1"/>
    <x:col min="18" max="18" width="38" hidden="0" customWidth="1"/>
    <x:col min="19" max="19" width="14" hidden="0" customWidth="1"/>
    <x:col min="20" max="20" width="20" hidden="0" customWidth="1"/>
    <x:col min="21" max="21" width="30" hidden="0" customWidth="1"/>
    <x:col min="22" max="22" width="20" hidden="0" customWidth="1"/>
  </x:cols>
  <x:sheetData>
    <x:row r="1" ht="25" customHeight="1">
      <x:c r="A1" s="4" t="str">
        <x:v>Catalogue Audit — all imported procedures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</x:row>
    <x:row r="3" ht="25" customHeight="1">
      <x:c r="A3" s="13" t="str">
        <x:v>Filter by workflow, icon, confidence, material, or review status. Greek source names and IDs are preserved exactly; reviewer decision and notes are intentionally blank/editable.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5"/>
    </x:row>
    <x:row r="5" ht="36" customHeight="1">
      <x:c r="A5" s="45" t="str">
        <x:v>Group source ID</x:v>
      </x:c>
      <x:c r="B5" s="45" t="str">
        <x:v>Source code</x:v>
      </x:c>
      <x:c r="C5" s="45" t="str">
        <x:v>Group — Greek</x:v>
      </x:c>
      <x:c r="D5" s="45" t="str">
        <x:v>Procedure — Greek (source)</x:v>
      </x:c>
      <x:c r="E5" s="45" t="str">
        <x:v>English draft</x:v>
      </x:c>
      <x:c r="F5" s="45" t="str">
        <x:v>German draft</x:v>
      </x:c>
      <x:c r="G5" s="45" t="str">
        <x:v>Base price</x:v>
      </x:c>
      <x:c r="H5" s="45" t="str">
        <x:v>Tooth required (source)</x:v>
      </x:c>
      <x:c r="I5" s="45" t="str">
        <x:v>Suggested workflow</x:v>
      </x:c>
      <x:c r="J5" s="45" t="str">
        <x:v>Suggested target</x:v>
      </x:c>
      <x:c r="K5" s="45" t="str">
        <x:v>Current overlay key</x:v>
      </x:c>
      <x:c r="L5" s="45" t="str">
        <x:v>Future icon suggestion</x:v>
      </x:c>
      <x:c r="M5" s="45" t="str">
        <x:v>Material / brand family</x:v>
      </x:c>
      <x:c r="N5" s="45" t="str">
        <x:v>Suggested colour (HEX)</x:v>
      </x:c>
      <x:c r="O5" s="45" t="str">
        <x:v>Translation confidence</x:v>
      </x:c>
      <x:c r="P5" s="45" t="str">
        <x:v>Mapping confidence</x:v>
      </x:c>
      <x:c r="Q5" s="45" t="str">
        <x:v>Mapping rule / reason</x:v>
      </x:c>
      <x:c r="R5" s="45" t="str">
        <x:v>Translation note</x:v>
      </x:c>
      <x:c r="S5" s="45" t="str">
        <x:v>Review needed</x:v>
      </x:c>
      <x:c r="T5" s="45" t="str">
        <x:v>Reviewer decision</x:v>
      </x:c>
      <x:c r="U5" s="45" t="str">
        <x:v>Reviewer notes</x:v>
      </x:c>
      <x:c r="V5" s="45" t="str">
        <x:v>Source record ID</x:v>
      </x:c>
    </x:row>
    <x:row r="6">
      <x:c r="A6" s="46" t="str">
        <x:v>0</x:v>
      </x:c>
      <x:c r="B6" s="46" t="str">
        <x:v>4950</x:v>
      </x:c>
      <x:c r="C6" s="46" t="str">
        <x:v>Uncategorized legacy review</x:v>
      </x:c>
      <x:c r="D6" s="47" t="str">
        <x:v>ΕΝΔΙΑΜΕΣΟ ΜΕΤΑΛΛΟΠΟΡΣΕΛΑΝΗΣ</x:v>
      </x:c>
      <x:c r="E6" s="47" t="str">
        <x:v>Metal-ceramic pontic</x:v>
      </x:c>
      <x:c r="F6" s="47" t="str">
        <x:v>Metallkeramisches Brückenglied</x:v>
      </x:c>
      <x:c r="G6" s="48" t="n">
        <x:v>0</x:v>
      </x:c>
      <x:c r="H6" s="46" t="str">
        <x:v>Unknown</x:v>
      </x:c>
      <x:c r="I6" s="47" t="str">
        <x:v>Bridge</x:v>
      </x:c>
      <x:c r="J6" s="47" t="str">
        <x:v>Multi-tooth bridge units</x:v>
      </x:c>
      <x:c r="K6" s="47" t="str">
        <x:v>bridge</x:v>
      </x:c>
      <x:c r="L6" s="47" t="str">
        <x:v>bridge</x:v>
      </x:c>
      <x:c r="M6" s="47" t="str">
        <x:v>Not specified</x:v>
      </x:c>
      <x:c r="N6" s="54" t="str">
        <x:v>#777777</x:v>
      </x:c>
      <x:c r="O6" s="50" t="str">
        <x:v>High</x:v>
      </x:c>
      <x:c r="P6" s="51" t="str">
        <x:v>Needs review</x:v>
      </x:c>
      <x:c r="Q6" s="47" t="str">
        <x:v>Bridge/pontic keyword; legacy source category requires confirmation</x:v>
      </x:c>
      <x:c r="R6" s="47" t="str">
        <x:v>Exact catalogue translation</x:v>
      </x:c>
      <x:c r="S6" s="52" t="str">
        <x:v>Yes</x:v>
      </x:c>
      <x:c r="T6" s="46" t="str"/>
      <x:c r="U6" s="47" t="str"/>
      <x:c r="V6" s="46" t="str">
        <x:v>dbddfdf88cd2edb</x:v>
      </x:c>
    </x:row>
    <x:row r="7">
      <x:c r="A7" s="46" t="str">
        <x:v>0</x:v>
      </x:c>
      <x:c r="B7" s="46" t="str">
        <x:v>4955</x:v>
      </x:c>
      <x:c r="C7" s="46" t="str">
        <x:v>Uncategorized legacy review</x:v>
      </x:c>
      <x:c r="D7" s="47" t="str">
        <x:v>BALL ATCHAMENT</x:v>
      </x:c>
      <x:c r="E7" s="47" t="str">
        <x:v>Ball attachment</x:v>
      </x:c>
      <x:c r="F7" s="47" t="str">
        <x:v>Kugelattachment</x:v>
      </x:c>
      <x:c r="G7" s="48" t="n">
        <x:v>200</x:v>
      </x:c>
      <x:c r="H7" s="46" t="str">
        <x:v>Unknown</x:v>
      </x:c>
      <x:c r="I7" s="47" t="str">
        <x:v>Patient-level / history only</x:v>
      </x:c>
      <x:c r="J7" s="47" t="str">
        <x:v>Patient</x:v>
      </x:c>
      <x:c r="K7" s="47" t="str">
        <x:v>none</x:v>
      </x:c>
      <x:c r="L7" s="47" t="str">
        <x:v>general-note</x:v>
      </x:c>
      <x:c r="M7" s="47" t="str">
        <x:v>Not specified</x:v>
      </x:c>
      <x:c r="N7" s="54" t="str">
        <x:v>#777777</x:v>
      </x:c>
      <x:c r="O7" s="50" t="str">
        <x:v>High</x:v>
      </x:c>
      <x:c r="P7" s="51" t="str">
        <x:v>Needs review</x:v>
      </x:c>
      <x:c r="Q7" s="47" t="str">
        <x:v>Uncategorized legacy item; safe patient-level fallback; legacy source category requires confirmation</x:v>
      </x:c>
      <x:c r="R7" s="47" t="str">
        <x:v>Exact catalogue translation</x:v>
      </x:c>
      <x:c r="S7" s="52" t="str">
        <x:v>Yes</x:v>
      </x:c>
      <x:c r="T7" s="46" t="str"/>
      <x:c r="U7" s="47" t="str"/>
      <x:c r="V7" s="46" t="str">
        <x:v>d98586645cb2a35</x:v>
      </x:c>
    </x:row>
    <x:row r="8">
      <x:c r="A8" s="46" t="str">
        <x:v>0</x:v>
      </x:c>
      <x:c r="B8" s="46" t="str">
        <x:v>4956</x:v>
      </x:c>
      <x:c r="C8" s="46" t="str">
        <x:v>Uncategorized legacy review</x:v>
      </x:c>
      <x:c r="D8" s="47" t="str">
        <x:v>INLAY</x:v>
      </x:c>
      <x:c r="E8" s="47" t="str">
        <x:v>Inlay</x:v>
      </x:c>
      <x:c r="F8" s="47" t="str">
        <x:v>Inlay</x:v>
      </x:c>
      <x:c r="G8" s="48" t="n">
        <x:v>0</x:v>
      </x:c>
      <x:c r="H8" s="46" t="str">
        <x:v>Unknown</x:v>
      </x:c>
      <x:c r="I8" s="47" t="str">
        <x:v>Surface-based</x:v>
      </x:c>
      <x:c r="J8" s="47" t="str">
        <x:v>Tooth surfaces (optional)</x:v>
      </x:c>
      <x:c r="K8" s="47" t="str">
        <x:v>filling</x:v>
      </x:c>
      <x:c r="L8" s="47" t="str">
        <x:v>inlay-onlay</x:v>
      </x:c>
      <x:c r="M8" s="47" t="str">
        <x:v>Not specified</x:v>
      </x:c>
      <x:c r="N8" s="54" t="str">
        <x:v>#777777</x:v>
      </x:c>
      <x:c r="O8" s="50" t="str">
        <x:v>High</x:v>
      </x:c>
      <x:c r="P8" s="51" t="str">
        <x:v>Needs review</x:v>
      </x:c>
      <x:c r="Q8" s="47" t="str">
        <x:v>Restoration/surface keyword; legacy source category requires confirmation</x:v>
      </x:c>
      <x:c r="R8" s="47" t="str">
        <x:v>Exact catalogue translation</x:v>
      </x:c>
      <x:c r="S8" s="52" t="str">
        <x:v>Yes</x:v>
      </x:c>
      <x:c r="T8" s="46" t="str"/>
      <x:c r="U8" s="47" t="str"/>
      <x:c r="V8" s="46" t="str">
        <x:v>d3ef52ba05cf028</x:v>
      </x:c>
    </x:row>
    <x:row r="9">
      <x:c r="A9" s="46" t="str">
        <x:v>1</x:v>
      </x:c>
      <x:c r="B9" s="46" t="str">
        <x:v>86108</x:v>
      </x:c>
      <x:c r="C9" s="46" t="str">
        <x:v>Οδον. Χειρουργική 1</x:v>
      </x:c>
      <x:c r="D9" s="47" t="str">
        <x:v>Ανασύσταση κοπτικής γωνίας d</x:v>
      </x:c>
      <x:c r="E9" s="47" t="str">
        <x:v>Incisal angle reconstruction (distal)</x:v>
      </x:c>
      <x:c r="F9" s="47" t="str">
        <x:v>Schneidekantenrekonstruktion (distal)</x:v>
      </x:c>
      <x:c r="G9" s="48" t="n">
        <x:v>60</x:v>
      </x:c>
      <x:c r="H9" s="46" t="str">
        <x:v>Yes</x:v>
      </x:c>
      <x:c r="I9" s="47" t="str">
        <x:v>Surface-based</x:v>
      </x:c>
      <x:c r="J9" s="47" t="str">
        <x:v>Tooth surfaces (optional)</x:v>
      </x:c>
      <x:c r="K9" s="47" t="str">
        <x:v>filling</x:v>
      </x:c>
      <x:c r="L9" s="47" t="str">
        <x:v>filling</x:v>
      </x:c>
      <x:c r="M9" s="47" t="str">
        <x:v>Not specified</x:v>
      </x:c>
      <x:c r="N9" s="58" t="str">
        <x:v>#0F8B8D</x:v>
      </x:c>
      <x:c r="O9" s="55" t="str">
        <x:v>Medium</x:v>
      </x:c>
      <x:c r="P9" s="50" t="str">
        <x:v>High</x:v>
      </x:c>
      <x:c r="Q9" s="47" t="str">
        <x:v>Restoration/surface keyword</x:v>
      </x:c>
      <x:c r="R9" s="47" t="str">
        <x:v>Phrase-based clinical draft; language review recommended</x:v>
      </x:c>
      <x:c r="S9" s="56" t="str">
        <x:v>No</x:v>
      </x:c>
      <x:c r="T9" s="46" t="str"/>
      <x:c r="U9" s="47" t="str"/>
      <x:c r="V9" s="46" t="str">
        <x:v>dffe708945d4978</x:v>
      </x:c>
    </x:row>
    <x:row r="10">
      <x:c r="A10" s="46" t="str">
        <x:v>1</x:v>
      </x:c>
      <x:c r="B10" s="46" t="str">
        <x:v>86107</x:v>
      </x:c>
      <x:c r="C10" s="46" t="str">
        <x:v>Οδον. Χειρουργική 1</x:v>
      </x:c>
      <x:c r="D10" s="47" t="str">
        <x:v>Ανασύσταση κοπτικής γωνίας m</x:v>
      </x:c>
      <x:c r="E10" s="47" t="str">
        <x:v>Incisal angle reconstruction (mesial)</x:v>
      </x:c>
      <x:c r="F10" s="47" t="str">
        <x:v>Schneidekantenrekonstruktion (mesial)</x:v>
      </x:c>
      <x:c r="G10" s="48" t="n">
        <x:v>60</x:v>
      </x:c>
      <x:c r="H10" s="46" t="str">
        <x:v>Yes</x:v>
      </x:c>
      <x:c r="I10" s="47" t="str">
        <x:v>Surface-based</x:v>
      </x:c>
      <x:c r="J10" s="47" t="str">
        <x:v>Tooth surfaces (optional)</x:v>
      </x:c>
      <x:c r="K10" s="47" t="str">
        <x:v>filling</x:v>
      </x:c>
      <x:c r="L10" s="47" t="str">
        <x:v>filling</x:v>
      </x:c>
      <x:c r="M10" s="47" t="str">
        <x:v>Not specified</x:v>
      </x:c>
      <x:c r="N10" s="58" t="str">
        <x:v>#0F8B8D</x:v>
      </x:c>
      <x:c r="O10" s="55" t="str">
        <x:v>Medium</x:v>
      </x:c>
      <x:c r="P10" s="50" t="str">
        <x:v>High</x:v>
      </x:c>
      <x:c r="Q10" s="47" t="str">
        <x:v>Restoration/surface keyword</x:v>
      </x:c>
      <x:c r="R10" s="47" t="str">
        <x:v>Phrase-based clinical draft; language review recommended</x:v>
      </x:c>
      <x:c r="S10" s="56" t="str">
        <x:v>No</x:v>
      </x:c>
      <x:c r="T10" s="46" t="str"/>
      <x:c r="U10" s="47" t="str"/>
      <x:c r="V10" s="46" t="str">
        <x:v>d00a82b8ee9c226</x:v>
      </x:c>
    </x:row>
    <x:row r="11">
      <x:c r="A11" s="46" t="str">
        <x:v>1</x:v>
      </x:c>
      <x:c r="B11" s="46" t="str">
        <x:v>4974</x:v>
      </x:c>
      <x:c r="C11" s="46" t="str">
        <x:v>Οδον. Χειρουργική 1</x:v>
      </x:c>
      <x:c r="D11" s="47" t="str">
        <x:v>Ανασύσταση ρητίνης</x:v>
      </x:c>
      <x:c r="E11" s="47" t="str">
        <x:v>Composite reconstruction</x:v>
      </x:c>
      <x:c r="F11" s="47" t="str">
        <x:v>Kompositaufbau</x:v>
      </x:c>
      <x:c r="G11" s="48" t="n">
        <x:v>50</x:v>
      </x:c>
      <x:c r="H11" s="46" t="str">
        <x:v>Unknown</x:v>
      </x:c>
      <x:c r="I11" s="47" t="str">
        <x:v>Surface-based</x:v>
      </x:c>
      <x:c r="J11" s="47" t="str">
        <x:v>Tooth surfaces (optional)</x:v>
      </x:c>
      <x:c r="K11" s="47" t="str">
        <x:v>filling</x:v>
      </x:c>
      <x:c r="L11" s="47" t="str">
        <x:v>filling</x:v>
      </x:c>
      <x:c r="M11" s="47" t="str">
        <x:v>Composite resin</x:v>
      </x:c>
      <x:c r="N11" s="58" t="str">
        <x:v>#0F8B8D</x:v>
      </x:c>
      <x:c r="O11" s="55" t="str">
        <x:v>Medium</x:v>
      </x:c>
      <x:c r="P11" s="50" t="str">
        <x:v>High</x:v>
      </x:c>
      <x:c r="Q11" s="47" t="str">
        <x:v>Restoration/surface keyword</x:v>
      </x:c>
      <x:c r="R11" s="47" t="str">
        <x:v>Phrase-based clinical draft; language review recommended</x:v>
      </x:c>
      <x:c r="S11" s="56" t="str">
        <x:v>No</x:v>
      </x:c>
      <x:c r="T11" s="46" t="str"/>
      <x:c r="U11" s="47" t="str"/>
      <x:c r="V11" s="46" t="str">
        <x:v>d836aa249841cda</x:v>
      </x:c>
    </x:row>
    <x:row r="12">
      <x:c r="A12" s="46" t="str">
        <x:v>1</x:v>
      </x:c>
      <x:c r="B12" s="46" t="str">
        <x:v>4975</x:v>
      </x:c>
      <x:c r="C12" s="46" t="str">
        <x:v>Οδον. Χειρουργική 1</x:v>
      </x:c>
      <x:c r="D12" s="47" t="str">
        <x:v>Ανασύσταση ρητίνης με καρφίδα m</x:v>
      </x:c>
      <x:c r="E12" s="47" t="str">
        <x:v>Composite core build-up with pin (mesial)</x:v>
      </x:c>
      <x:c r="F12" s="47" t="str">
        <x:v>Kompositaufbau mit Stift (mesial)</x:v>
      </x:c>
      <x:c r="G12" s="48" t="n">
        <x:v>60</x:v>
      </x:c>
      <x:c r="H12" s="46" t="str">
        <x:v>Unknown</x:v>
      </x:c>
      <x:c r="I12" s="47" t="str">
        <x:v>Surface-based</x:v>
      </x:c>
      <x:c r="J12" s="47" t="str">
        <x:v>Tooth surfaces (optional)</x:v>
      </x:c>
      <x:c r="K12" s="47" t="str">
        <x:v>filling</x:v>
      </x:c>
      <x:c r="L12" s="47" t="str">
        <x:v>filling</x:v>
      </x:c>
      <x:c r="M12" s="47" t="str">
        <x:v>Composite resin</x:v>
      </x:c>
      <x:c r="N12" s="58" t="str">
        <x:v>#0F8B8D</x:v>
      </x:c>
      <x:c r="O12" s="55" t="str">
        <x:v>Medium</x:v>
      </x:c>
      <x:c r="P12" s="50" t="str">
        <x:v>High</x:v>
      </x:c>
      <x:c r="Q12" s="47" t="str">
        <x:v>Restoration/surface keyword</x:v>
      </x:c>
      <x:c r="R12" s="47" t="str">
        <x:v>Phrase-based clinical draft; language review recommended</x:v>
      </x:c>
      <x:c r="S12" s="56" t="str">
        <x:v>No</x:v>
      </x:c>
      <x:c r="T12" s="46" t="str"/>
      <x:c r="U12" s="47" t="str"/>
      <x:c r="V12" s="46" t="str">
        <x:v>d5ce982d8994b2e</x:v>
      </x:c>
    </x:row>
    <x:row r="13">
      <x:c r="A13" s="46" t="str">
        <x:v>1</x:v>
      </x:c>
      <x:c r="B13" s="46" t="str">
        <x:v>4871</x:v>
      </x:c>
      <x:c r="C13" s="46" t="str">
        <x:v>Οδον. Χειρουργική 1</x:v>
      </x:c>
      <x:c r="D13" s="47" t="str">
        <x:v>Ανασύσταση ρητίνης με καρφίδα o</x:v>
      </x:c>
      <x:c r="E13" s="47" t="str">
        <x:v>Composite core build-up with pin (occlusal)</x:v>
      </x:c>
      <x:c r="F13" s="47" t="str">
        <x:v>Kompositaufbau mit Stift (okklusal)</x:v>
      </x:c>
      <x:c r="G13" s="48" t="n">
        <x:v>60</x:v>
      </x:c>
      <x:c r="H13" s="46" t="str">
        <x:v>Unknown</x:v>
      </x:c>
      <x:c r="I13" s="47" t="str">
        <x:v>Surface-based</x:v>
      </x:c>
      <x:c r="J13" s="47" t="str">
        <x:v>Tooth surfaces (optional)</x:v>
      </x:c>
      <x:c r="K13" s="47" t="str">
        <x:v>filling</x:v>
      </x:c>
      <x:c r="L13" s="47" t="str">
        <x:v>filling</x:v>
      </x:c>
      <x:c r="M13" s="47" t="str">
        <x:v>Composite resin</x:v>
      </x:c>
      <x:c r="N13" s="58" t="str">
        <x:v>#0F8B8D</x:v>
      </x:c>
      <x:c r="O13" s="55" t="str">
        <x:v>Medium</x:v>
      </x:c>
      <x:c r="P13" s="50" t="str">
        <x:v>High</x:v>
      </x:c>
      <x:c r="Q13" s="47" t="str">
        <x:v>Restoration/surface keyword</x:v>
      </x:c>
      <x:c r="R13" s="47" t="str">
        <x:v>Phrase-based clinical draft; language review recommended</x:v>
      </x:c>
      <x:c r="S13" s="56" t="str">
        <x:v>No</x:v>
      </x:c>
      <x:c r="T13" s="46" t="str"/>
      <x:c r="U13" s="47" t="str"/>
      <x:c r="V13" s="46" t="str">
        <x:v>d3a5d0a8e8d1402</x:v>
      </x:c>
    </x:row>
    <x:row r="14">
      <x:c r="A14" s="46" t="str">
        <x:v>1</x:v>
      </x:c>
      <x:c r="B14" s="46" t="str">
        <x:v>86081</x:v>
      </x:c>
      <x:c r="C14" s="46" t="str">
        <x:v>Οδον. Χειρουργική 1</x:v>
      </x:c>
      <x:c r="D14" s="47" t="str">
        <x:v>Απευαισθητοποίηση με Bonding</x:v>
      </x:c>
      <x:c r="E14" s="47" t="str">
        <x:v>Desensitization with bonding agent</x:v>
      </x:c>
      <x:c r="F14" s="47" t="str">
        <x:v>Desensibilisierung mit Bonding</x:v>
      </x:c>
      <x:c r="G14" s="48" t="n">
        <x:v>15</x:v>
      </x:c>
      <x:c r="H14" s="46" t="str">
        <x:v>Yes</x:v>
      </x:c>
      <x:c r="I14" s="47" t="str">
        <x:v>Surface-based</x:v>
      </x:c>
      <x:c r="J14" s="47" t="str">
        <x:v>Tooth surfaces (optional)</x:v>
      </x:c>
      <x:c r="K14" s="47" t="str">
        <x:v>filling</x:v>
      </x:c>
      <x:c r="L14" s="47" t="str">
        <x:v>filling</x:v>
      </x:c>
      <x:c r="M14" s="47" t="str">
        <x:v>Composite resin</x:v>
      </x:c>
      <x:c r="N14" s="58" t="str">
        <x:v>#0F8B8D</x:v>
      </x:c>
      <x:c r="O14" s="50" t="str">
        <x:v>High</x:v>
      </x:c>
      <x:c r="P14" s="50" t="str">
        <x:v>High</x:v>
      </x:c>
      <x:c r="Q14" s="47" t="str">
        <x:v>Restoration/surface keyword</x:v>
      </x:c>
      <x:c r="R14" s="47" t="str">
        <x:v>Exact catalogue translation</x:v>
      </x:c>
      <x:c r="S14" s="56" t="str">
        <x:v>No</x:v>
      </x:c>
      <x:c r="T14" s="46" t="str"/>
      <x:c r="U14" s="47" t="str"/>
      <x:c r="V14" s="46" t="str">
        <x:v>d0913594e566c4b</x:v>
      </x:c>
    </x:row>
    <x:row r="15">
      <x:c r="A15" s="46" t="str">
        <x:v>1</x:v>
      </x:c>
      <x:c r="B15" s="46" t="str">
        <x:v>86149</x:v>
      </x:c>
      <x:c r="C15" s="46" t="str">
        <x:v>Οδον. Χειρουργική 1</x:v>
      </x:c>
      <x:c r="D15" s="47" t="str">
        <x:v>Απευαισθητοποίηση με Pro-Relief</x:v>
      </x:c>
      <x:c r="E15" s="47" t="str">
        <x:v>Desensitization with Pro-Relief</x:v>
      </x:c>
      <x:c r="F15" s="47" t="str">
        <x:v>Desensibilisierung mit Pro-Relief</x:v>
      </x:c>
      <x:c r="G15" s="48" t="n">
        <x:v>0</x:v>
      </x:c>
      <x:c r="H15" s="46" t="str">
        <x:v>Unknown</x:v>
      </x:c>
      <x:c r="I15" s="47" t="str">
        <x:v>Patient-level / history only</x:v>
      </x:c>
      <x:c r="J15" s="47" t="str">
        <x:v>Patient</x:v>
      </x:c>
      <x:c r="K15" s="47" t="str">
        <x:v>none</x:v>
      </x:c>
      <x:c r="L15" s="47" t="str">
        <x:v>general-note</x:v>
      </x:c>
      <x:c r="M15" s="47" t="str">
        <x:v>Not specified</x:v>
      </x:c>
      <x:c r="N15" s="58" t="str">
        <x:v>#0F8B8D</x:v>
      </x:c>
      <x:c r="O15" s="50" t="str">
        <x:v>High</x:v>
      </x:c>
      <x:c r="P15" s="51" t="str">
        <x:v>Needs review</x:v>
      </x:c>
      <x:c r="Q15" s="47" t="str">
        <x:v>Uncategorized legacy item; safe patient-level fallback</x:v>
      </x:c>
      <x:c r="R15" s="47" t="str">
        <x:v>Exact catalogue translation</x:v>
      </x:c>
      <x:c r="S15" s="52" t="str">
        <x:v>Yes</x:v>
      </x:c>
      <x:c r="T15" s="46" t="str"/>
      <x:c r="U15" s="47" t="str"/>
      <x:c r="V15" s="46" t="str">
        <x:v>dcece5404f6096e</x:v>
      </x:c>
    </x:row>
    <x:row r="16">
      <x:c r="A16" s="46" t="str">
        <x:v>1</x:v>
      </x:c>
      <x:c r="B16" s="46" t="str">
        <x:v>86150</x:v>
      </x:c>
      <x:c r="C16" s="46" t="str">
        <x:v>Οδον. Χειρουργική 1</x:v>
      </x:c>
      <x:c r="D16" s="47" t="str">
        <x:v>Απευαισθητοποίηση με Teethmate Desensitizer</x:v>
      </x:c>
      <x:c r="E16" s="47" t="str">
        <x:v>Desensitization with Teethmate Desensitizer</x:v>
      </x:c>
      <x:c r="F16" s="47" t="str">
        <x:v>Desensibilisierung mit Teethmate Desensitizer</x:v>
      </x:c>
      <x:c r="G16" s="48" t="n">
        <x:v>10</x:v>
      </x:c>
      <x:c r="H16" s="46" t="str">
        <x:v>Yes</x:v>
      </x:c>
      <x:c r="I16" s="47" t="str">
        <x:v>Patient-level / history only</x:v>
      </x:c>
      <x:c r="J16" s="47" t="str">
        <x:v>Patient</x:v>
      </x:c>
      <x:c r="K16" s="47" t="str">
        <x:v>none</x:v>
      </x:c>
      <x:c r="L16" s="47" t="str">
        <x:v>general-note</x:v>
      </x:c>
      <x:c r="M16" s="47" t="str">
        <x:v>Not specified</x:v>
      </x:c>
      <x:c r="N16" s="58" t="str">
        <x:v>#0F8B8D</x:v>
      </x:c>
      <x:c r="O16" s="50" t="str">
        <x:v>High</x:v>
      </x:c>
      <x:c r="P16" s="51" t="str">
        <x:v>Needs review</x:v>
      </x:c>
      <x:c r="Q16" s="47" t="str">
        <x:v>Uncategorized legacy item; safe patient-level fallback</x:v>
      </x:c>
      <x:c r="R16" s="47" t="str">
        <x:v>Exact catalogue translation</x:v>
      </x:c>
      <x:c r="S16" s="52" t="str">
        <x:v>Yes</x:v>
      </x:c>
      <x:c r="T16" s="46" t="str"/>
      <x:c r="U16" s="47" t="str"/>
      <x:c r="V16" s="46" t="str">
        <x:v>dd66d1c3f48c9f1</x:v>
      </x:c>
    </x:row>
    <x:row r="17">
      <x:c r="A17" s="46" t="str">
        <x:v>1</x:v>
      </x:c>
      <x:c r="B17" s="46" t="str">
        <x:v>4875</x:v>
      </x:c>
      <x:c r="C17" s="46" t="str">
        <x:v>Οδον. Χειρουργική 1</x:v>
      </x:c>
      <x:c r="D17" s="47" t="str">
        <x:v>ΑΥΧΕΝΙΚΗ ΕΜΦΡ.ΥΑΛΟΙΟΝΟΜΕΡΗ</x:v>
      </x:c>
      <x:c r="E17" s="47" t="str">
        <x:v>Cervical glass-ionomer restoration</x:v>
      </x:c>
      <x:c r="F17" s="47" t="str">
        <x:v>Zervikale Glasionomerfüllung</x:v>
      </x:c>
      <x:c r="G17" s="48" t="n">
        <x:v>30</x:v>
      </x:c>
      <x:c r="H17" s="46" t="str">
        <x:v>Unknown</x:v>
      </x:c>
      <x:c r="I17" s="47" t="str">
        <x:v>Patient-level / history only</x:v>
      </x:c>
      <x:c r="J17" s="47" t="str">
        <x:v>Patient</x:v>
      </x:c>
      <x:c r="K17" s="47" t="str">
        <x:v>none</x:v>
      </x:c>
      <x:c r="L17" s="47" t="str">
        <x:v>general-note</x:v>
      </x:c>
      <x:c r="M17" s="47" t="str">
        <x:v>Glass ionomer</x:v>
      </x:c>
      <x:c r="N17" s="58" t="str">
        <x:v>#0F8B8D</x:v>
      </x:c>
      <x:c r="O17" s="50" t="str">
        <x:v>High</x:v>
      </x:c>
      <x:c r="P17" s="51" t="str">
        <x:v>Needs review</x:v>
      </x:c>
      <x:c r="Q17" s="47" t="str">
        <x:v>Uncategorized legacy item; safe patient-level fallback</x:v>
      </x:c>
      <x:c r="R17" s="47" t="str">
        <x:v>Exact catalogue translation</x:v>
      </x:c>
      <x:c r="S17" s="52" t="str">
        <x:v>Yes</x:v>
      </x:c>
      <x:c r="T17" s="46" t="str"/>
      <x:c r="U17" s="47" t="str"/>
      <x:c r="V17" s="46" t="str">
        <x:v>d79383714d94aec</x:v>
      </x:c>
    </x:row>
    <x:row r="18">
      <x:c r="A18" s="46" t="str">
        <x:v>1</x:v>
      </x:c>
      <x:c r="B18" s="46" t="str">
        <x:v>4989</x:v>
      </x:c>
      <x:c r="C18" s="46" t="str">
        <x:v>Οδον. Χειρουργική 1</x:v>
      </x:c>
      <x:c r="D18" s="47" t="str">
        <x:v>Έμφραξη οπών &amp; σχισμών</x:v>
      </x:c>
      <x:c r="E18" s="47" t="str">
        <x:v>Pit and fissure sealant</x:v>
      </x:c>
      <x:c r="F18" s="47" t="str">
        <x:v>Fissurenversiegelung</x:v>
      </x:c>
      <x:c r="G18" s="48" t="n">
        <x:v>15</x:v>
      </x:c>
      <x:c r="H18" s="46" t="str">
        <x:v>Unknown</x:v>
      </x:c>
      <x:c r="I18" s="47" t="str">
        <x:v>Surface-based</x:v>
      </x:c>
      <x:c r="J18" s="47" t="str">
        <x:v>Tooth surfaces (optional)</x:v>
      </x:c>
      <x:c r="K18" s="47" t="str">
        <x:v>filling</x:v>
      </x:c>
      <x:c r="L18" s="47" t="str">
        <x:v>filling</x:v>
      </x:c>
      <x:c r="M18" s="47" t="str">
        <x:v>Not specified</x:v>
      </x:c>
      <x:c r="N18" s="58" t="str">
        <x:v>#0F8B8D</x:v>
      </x:c>
      <x:c r="O18" s="55" t="str">
        <x:v>Medium</x:v>
      </x:c>
      <x:c r="P18" s="50" t="str">
        <x:v>High</x:v>
      </x:c>
      <x:c r="Q18" s="47" t="str">
        <x:v>Restoration/surface keyword</x:v>
      </x:c>
      <x:c r="R18" s="47" t="str">
        <x:v>Phrase-based clinical draft; language review recommended</x:v>
      </x:c>
      <x:c r="S18" s="56" t="str">
        <x:v>No</x:v>
      </x:c>
      <x:c r="T18" s="46" t="str"/>
      <x:c r="U18" s="47" t="str"/>
      <x:c r="V18" s="46" t="str">
        <x:v>d49bb62e6e60c70</x:v>
      </x:c>
    </x:row>
    <x:row r="19">
      <x:c r="A19" s="46" t="str">
        <x:v>1</x:v>
      </x:c>
      <x:c r="B19" s="46" t="str">
        <x:v>86106</x:v>
      </x:c>
      <x:c r="C19" s="46" t="str">
        <x:v>Οδον. Χειρουργική 1</x:v>
      </x:c>
      <x:c r="D19" s="47" t="str">
        <x:v>Έμφραξη προσθίου d</x:v>
      </x:c>
      <x:c r="E19" s="47" t="str">
        <x:v>Anterior restoration (distal)</x:v>
      </x:c>
      <x:c r="F19" s="47" t="str">
        <x:v>Frontzahnfüllung (distal)</x:v>
      </x:c>
      <x:c r="G19" s="48" t="n">
        <x:v>60</x:v>
      </x:c>
      <x:c r="H19" s="46" t="str">
        <x:v>Yes</x:v>
      </x:c>
      <x:c r="I19" s="47" t="str">
        <x:v>Surface-based</x:v>
      </x:c>
      <x:c r="J19" s="47" t="str">
        <x:v>Tooth surfaces (optional)</x:v>
      </x:c>
      <x:c r="K19" s="47" t="str">
        <x:v>filling</x:v>
      </x:c>
      <x:c r="L19" s="47" t="str">
        <x:v>filling</x:v>
      </x:c>
      <x:c r="M19" s="47" t="str">
        <x:v>Not specified</x:v>
      </x:c>
      <x:c r="N19" s="58" t="str">
        <x:v>#0F8B8D</x:v>
      </x:c>
      <x:c r="O19" s="50" t="str">
        <x:v>High</x:v>
      </x:c>
      <x:c r="P19" s="50" t="str">
        <x:v>High</x:v>
      </x:c>
      <x:c r="Q19" s="47" t="str">
        <x:v>Restoration/surface keyword</x:v>
      </x:c>
      <x:c r="R19" s="47" t="str">
        <x:v>Exact catalogue translation</x:v>
      </x:c>
      <x:c r="S19" s="56" t="str">
        <x:v>No</x:v>
      </x:c>
      <x:c r="T19" s="46" t="str"/>
      <x:c r="U19" s="47" t="str"/>
      <x:c r="V19" s="46" t="str">
        <x:v>d7e84d02932c30f</x:v>
      </x:c>
    </x:row>
    <x:row r="20">
      <x:c r="A20" s="46" t="str">
        <x:v>1</x:v>
      </x:c>
      <x:c r="B20" s="46" t="str">
        <x:v>86105</x:v>
      </x:c>
      <x:c r="C20" s="46" t="str">
        <x:v>Οδον. Χειρουργική 1</x:v>
      </x:c>
      <x:c r="D20" s="47" t="str">
        <x:v>Έμφραξη προσθίου m</x:v>
      </x:c>
      <x:c r="E20" s="47" t="str">
        <x:v>Anterior restoration (mesial)</x:v>
      </x:c>
      <x:c r="F20" s="47" t="str">
        <x:v>Frontzahnfüllung (mesial)</x:v>
      </x:c>
      <x:c r="G20" s="48" t="n">
        <x:v>60</x:v>
      </x:c>
      <x:c r="H20" s="46" t="str">
        <x:v>Yes</x:v>
      </x:c>
      <x:c r="I20" s="47" t="str">
        <x:v>Surface-based</x:v>
      </x:c>
      <x:c r="J20" s="47" t="str">
        <x:v>Tooth surfaces (optional)</x:v>
      </x:c>
      <x:c r="K20" s="47" t="str">
        <x:v>filling</x:v>
      </x:c>
      <x:c r="L20" s="47" t="str">
        <x:v>filling</x:v>
      </x:c>
      <x:c r="M20" s="47" t="str">
        <x:v>Not specified</x:v>
      </x:c>
      <x:c r="N20" s="58" t="str">
        <x:v>#0F8B8D</x:v>
      </x:c>
      <x:c r="O20" s="50" t="str">
        <x:v>High</x:v>
      </x:c>
      <x:c r="P20" s="50" t="str">
        <x:v>High</x:v>
      </x:c>
      <x:c r="Q20" s="47" t="str">
        <x:v>Restoration/surface keyword</x:v>
      </x:c>
      <x:c r="R20" s="47" t="str">
        <x:v>Exact catalogue translation</x:v>
      </x:c>
      <x:c r="S20" s="56" t="str">
        <x:v>No</x:v>
      </x:c>
      <x:c r="T20" s="46" t="str"/>
      <x:c r="U20" s="47" t="str"/>
      <x:c r="V20" s="46" t="str">
        <x:v>da385337dade99e</x:v>
      </x:c>
    </x:row>
    <x:row r="21">
      <x:c r="A21" s="46" t="str">
        <x:v>1</x:v>
      </x:c>
      <x:c r="B21" s="46" t="str">
        <x:v>5060</x:v>
      </x:c>
      <x:c r="C21" s="46" t="str">
        <x:v>Οδον. Χειρουργική 1</x:v>
      </x:c>
      <x:c r="D21" s="47" t="str">
        <x:v>Έμφραξη ρητίνης παριακού βοθρίου</x:v>
      </x:c>
      <x:c r="E21" s="47" t="str">
        <x:v>Composite restoration buccal pit</x:v>
      </x:c>
      <x:c r="F21" s="47" t="str">
        <x:v>Kompositfüllung Bukkalgrübchen</x:v>
      </x:c>
      <x:c r="G21" s="48" t="n">
        <x:v>30</x:v>
      </x:c>
      <x:c r="H21" s="46" t="str">
        <x:v>Unknown</x:v>
      </x:c>
      <x:c r="I21" s="47" t="str">
        <x:v>Surface-based</x:v>
      </x:c>
      <x:c r="J21" s="47" t="str">
        <x:v>Tooth surfaces (optional)</x:v>
      </x:c>
      <x:c r="K21" s="47" t="str">
        <x:v>filling</x:v>
      </x:c>
      <x:c r="L21" s="47" t="str">
        <x:v>filling</x:v>
      </x:c>
      <x:c r="M21" s="47" t="str">
        <x:v>Composite resin</x:v>
      </x:c>
      <x:c r="N21" s="58" t="str">
        <x:v>#0F8B8D</x:v>
      </x:c>
      <x:c r="O21" s="55" t="str">
        <x:v>Medium</x:v>
      </x:c>
      <x:c r="P21" s="50" t="str">
        <x:v>High</x:v>
      </x:c>
      <x:c r="Q21" s="47" t="str">
        <x:v>Restoration/surface keyword</x:v>
      </x:c>
      <x:c r="R21" s="47" t="str">
        <x:v>Phrase-based clinical draft; language review recommended</x:v>
      </x:c>
      <x:c r="S21" s="56" t="str">
        <x:v>No</x:v>
      </x:c>
      <x:c r="T21" s="46" t="str"/>
      <x:c r="U21" s="47" t="str"/>
      <x:c r="V21" s="46" t="str">
        <x:v>d2cedf605d6f9ed</x:v>
      </x:c>
    </x:row>
    <x:row r="22">
      <x:c r="A22" s="46" t="str">
        <x:v>1</x:v>
      </x:c>
      <x:c r="B22" s="46" t="str">
        <x:v>4970</x:v>
      </x:c>
      <x:c r="C22" s="46" t="str">
        <x:v>Οδον. Χειρουργική 1</x:v>
      </x:c>
      <x:c r="D22" s="47" t="str">
        <x:v>Έμφραξη ρητίνης υπερώια αύλακα</x:v>
      </x:c>
      <x:c r="E22" s="47" t="str">
        <x:v>Composite restoration palatal groove</x:v>
      </x:c>
      <x:c r="F22" s="47" t="str">
        <x:v>Kompositfüllung Palatinalfurche</x:v>
      </x:c>
      <x:c r="G22" s="48" t="n">
        <x:v>30</x:v>
      </x:c>
      <x:c r="H22" s="46" t="str">
        <x:v>Unknown</x:v>
      </x:c>
      <x:c r="I22" s="47" t="str">
        <x:v>Surface-based</x:v>
      </x:c>
      <x:c r="J22" s="47" t="str">
        <x:v>Tooth surfaces (optional)</x:v>
      </x:c>
      <x:c r="K22" s="47" t="str">
        <x:v>filling</x:v>
      </x:c>
      <x:c r="L22" s="47" t="str">
        <x:v>filling</x:v>
      </x:c>
      <x:c r="M22" s="47" t="str">
        <x:v>Composite resin</x:v>
      </x:c>
      <x:c r="N22" s="58" t="str">
        <x:v>#0F8B8D</x:v>
      </x:c>
      <x:c r="O22" s="55" t="str">
        <x:v>Medium</x:v>
      </x:c>
      <x:c r="P22" s="50" t="str">
        <x:v>High</x:v>
      </x:c>
      <x:c r="Q22" s="47" t="str">
        <x:v>Restoration/surface keyword</x:v>
      </x:c>
      <x:c r="R22" s="47" t="str">
        <x:v>Phrase-based clinical draft; language review recommended</x:v>
      </x:c>
      <x:c r="S22" s="56" t="str">
        <x:v>No</x:v>
      </x:c>
      <x:c r="T22" s="46" t="str"/>
      <x:c r="U22" s="47" t="str"/>
      <x:c r="V22" s="46" t="str">
        <x:v>d7fbb9eb5d90de4</x:v>
      </x:c>
    </x:row>
    <x:row r="23">
      <x:c r="A23" s="46" t="str">
        <x:v>1</x:v>
      </x:c>
      <x:c r="B23" s="46" t="str">
        <x:v>4965</x:v>
      </x:c>
      <x:c r="C23" s="46" t="str">
        <x:v>Οδον. Χειρουργική 1</x:v>
      </x:c>
      <x:c r="D23" s="47" t="str">
        <x:v>Έμφραξη ρητίνης mo</x:v>
      </x:c>
      <x:c r="E23" s="47" t="str">
        <x:v>Composite restoration (mesio-occlusal)</x:v>
      </x:c>
      <x:c r="F23" s="47" t="str">
        <x:v>Kompositfüllung (mesio-okklusal)</x:v>
      </x:c>
      <x:c r="G23" s="48" t="n">
        <x:v>50</x:v>
      </x:c>
      <x:c r="H23" s="46" t="str">
        <x:v>Unknown</x:v>
      </x:c>
      <x:c r="I23" s="47" t="str">
        <x:v>Surface-based</x:v>
      </x:c>
      <x:c r="J23" s="47" t="str">
        <x:v>Tooth surfaces (optional)</x:v>
      </x:c>
      <x:c r="K23" s="47" t="str">
        <x:v>filling</x:v>
      </x:c>
      <x:c r="L23" s="47" t="str">
        <x:v>filling</x:v>
      </x:c>
      <x:c r="M23" s="47" t="str">
        <x:v>Composite resin</x:v>
      </x:c>
      <x:c r="N23" s="58" t="str">
        <x:v>#0F8B8D</x:v>
      </x:c>
      <x:c r="O23" s="55" t="str">
        <x:v>Medium</x:v>
      </x:c>
      <x:c r="P23" s="50" t="str">
        <x:v>High</x:v>
      </x:c>
      <x:c r="Q23" s="47" t="str">
        <x:v>Restoration/surface keyword</x:v>
      </x:c>
      <x:c r="R23" s="47" t="str">
        <x:v>Phrase-based clinical draft; language review recommended</x:v>
      </x:c>
      <x:c r="S23" s="56" t="str">
        <x:v>No</x:v>
      </x:c>
      <x:c r="T23" s="46" t="str"/>
      <x:c r="U23" s="47" t="str"/>
      <x:c r="V23" s="46" t="str">
        <x:v>d244f4777dd9e27</x:v>
      </x:c>
    </x:row>
    <x:row r="24">
      <x:c r="A24" s="46" t="str">
        <x:v>1</x:v>
      </x:c>
      <x:c r="B24" s="46" t="str">
        <x:v>4968</x:v>
      </x:c>
      <x:c r="C24" s="46" t="str">
        <x:v>Οδον. Χειρουργική 1</x:v>
      </x:c>
      <x:c r="D24" s="47" t="str">
        <x:v>Έμφραξη ρητίνης mod</x:v>
      </x:c>
      <x:c r="E24" s="47" t="str">
        <x:v>Composite restoration (mesio-occluso-distal)</x:v>
      </x:c>
      <x:c r="F24" s="47" t="str">
        <x:v>Kompositfüllung (mesio-okkluso-distal)</x:v>
      </x:c>
      <x:c r="G24" s="48" t="n">
        <x:v>60</x:v>
      </x:c>
      <x:c r="H24" s="46" t="str">
        <x:v>Unknown</x:v>
      </x:c>
      <x:c r="I24" s="47" t="str">
        <x:v>Surface-based</x:v>
      </x:c>
      <x:c r="J24" s="47" t="str">
        <x:v>Tooth surfaces (optional)</x:v>
      </x:c>
      <x:c r="K24" s="47" t="str">
        <x:v>filling</x:v>
      </x:c>
      <x:c r="L24" s="47" t="str">
        <x:v>filling</x:v>
      </x:c>
      <x:c r="M24" s="47" t="str">
        <x:v>Composite resin</x:v>
      </x:c>
      <x:c r="N24" s="58" t="str">
        <x:v>#0F8B8D</x:v>
      </x:c>
      <x:c r="O24" s="55" t="str">
        <x:v>Medium</x:v>
      </x:c>
      <x:c r="P24" s="50" t="str">
        <x:v>High</x:v>
      </x:c>
      <x:c r="Q24" s="47" t="str">
        <x:v>Restoration/surface keyword</x:v>
      </x:c>
      <x:c r="R24" s="47" t="str">
        <x:v>Phrase-based clinical draft; language review recommended</x:v>
      </x:c>
      <x:c r="S24" s="56" t="str">
        <x:v>No</x:v>
      </x:c>
      <x:c r="T24" s="46" t="str"/>
      <x:c r="U24" s="47" t="str"/>
      <x:c r="V24" s="46" t="str">
        <x:v>d62fe2cd53ba33d</x:v>
      </x:c>
    </x:row>
    <x:row r="25">
      <x:c r="A25" s="46" t="str">
        <x:v>1</x:v>
      </x:c>
      <x:c r="B25" s="46" t="str">
        <x:v>4966</x:v>
      </x:c>
      <x:c r="C25" s="46" t="str">
        <x:v>Οδον. Χειρουργική 1</x:v>
      </x:c>
      <x:c r="D25" s="47" t="str">
        <x:v>Έμφραξη ρητίνης o</x:v>
      </x:c>
      <x:c r="E25" s="47" t="str">
        <x:v>Composite restoration (occlusal)</x:v>
      </x:c>
      <x:c r="F25" s="47" t="str">
        <x:v>Kompositfüllung (okklusal)</x:v>
      </x:c>
      <x:c r="G25" s="48" t="n">
        <x:v>40</x:v>
      </x:c>
      <x:c r="H25" s="46" t="str">
        <x:v>Unknown</x:v>
      </x:c>
      <x:c r="I25" s="47" t="str">
        <x:v>Surface-based</x:v>
      </x:c>
      <x:c r="J25" s="47" t="str">
        <x:v>Tooth surfaces (optional)</x:v>
      </x:c>
      <x:c r="K25" s="47" t="str">
        <x:v>filling</x:v>
      </x:c>
      <x:c r="L25" s="47" t="str">
        <x:v>filling</x:v>
      </x:c>
      <x:c r="M25" s="47" t="str">
        <x:v>Composite resin</x:v>
      </x:c>
      <x:c r="N25" s="58" t="str">
        <x:v>#0F8B8D</x:v>
      </x:c>
      <x:c r="O25" s="55" t="str">
        <x:v>Medium</x:v>
      </x:c>
      <x:c r="P25" s="50" t="str">
        <x:v>High</x:v>
      </x:c>
      <x:c r="Q25" s="47" t="str">
        <x:v>Restoration/surface keyword</x:v>
      </x:c>
      <x:c r="R25" s="47" t="str">
        <x:v>Phrase-based clinical draft; language review recommended</x:v>
      </x:c>
      <x:c r="S25" s="56" t="str">
        <x:v>No</x:v>
      </x:c>
      <x:c r="T25" s="46" t="str"/>
      <x:c r="U25" s="47" t="str"/>
      <x:c r="V25" s="46" t="str">
        <x:v>da09a4d819c7877</x:v>
      </x:c>
    </x:row>
    <x:row r="26">
      <x:c r="A26" s="46" t="str">
        <x:v>1</x:v>
      </x:c>
      <x:c r="B26" s="46" t="str">
        <x:v>4967</x:v>
      </x:c>
      <x:c r="C26" s="46" t="str">
        <x:v>Οδον. Χειρουργική 1</x:v>
      </x:c>
      <x:c r="D26" s="47" t="str">
        <x:v>Έμφραξη ρητίνης od</x:v>
      </x:c>
      <x:c r="E26" s="47" t="str">
        <x:v>Composite restoration (occluso-distal)</x:v>
      </x:c>
      <x:c r="F26" s="47" t="str">
        <x:v>Kompositfüllung (okkluso-distal)</x:v>
      </x:c>
      <x:c r="G26" s="48" t="n">
        <x:v>50</x:v>
      </x:c>
      <x:c r="H26" s="46" t="str">
        <x:v>Unknown</x:v>
      </x:c>
      <x:c r="I26" s="47" t="str">
        <x:v>Surface-based</x:v>
      </x:c>
      <x:c r="J26" s="47" t="str">
        <x:v>Tooth surfaces (optional)</x:v>
      </x:c>
      <x:c r="K26" s="47" t="str">
        <x:v>filling</x:v>
      </x:c>
      <x:c r="L26" s="47" t="str">
        <x:v>filling</x:v>
      </x:c>
      <x:c r="M26" s="47" t="str">
        <x:v>Composite resin</x:v>
      </x:c>
      <x:c r="N26" s="58" t="str">
        <x:v>#0F8B8D</x:v>
      </x:c>
      <x:c r="O26" s="55" t="str">
        <x:v>Medium</x:v>
      </x:c>
      <x:c r="P26" s="50" t="str">
        <x:v>High</x:v>
      </x:c>
      <x:c r="Q26" s="47" t="str">
        <x:v>Restoration/surface keyword</x:v>
      </x:c>
      <x:c r="R26" s="47" t="str">
        <x:v>Phrase-based clinical draft; language review recommended</x:v>
      </x:c>
      <x:c r="S26" s="56" t="str">
        <x:v>No</x:v>
      </x:c>
      <x:c r="T26" s="46" t="str"/>
      <x:c r="U26" s="47" t="str"/>
      <x:c r="V26" s="46" t="str">
        <x:v>dab6ac465a12f1d</x:v>
      </x:c>
    </x:row>
    <x:row r="27">
      <x:c r="A27" s="46" t="str">
        <x:v>1</x:v>
      </x:c>
      <x:c r="B27" s="46" t="str">
        <x:v>4952</x:v>
      </x:c>
      <x:c r="C27" s="46" t="str">
        <x:v>Οδον. Χειρουργική 1</x:v>
      </x:c>
      <x:c r="D27" s="47" t="str">
        <x:v>Έμφραξη ρητίνης V ομάδας</x:v>
      </x:c>
      <x:c r="E27" s="47" t="str">
        <x:v>Class V composite restoration</x:v>
      </x:c>
      <x:c r="F27" s="47" t="str">
        <x:v>Kompositfüllung Klasse V</x:v>
      </x:c>
      <x:c r="G27" s="48" t="n">
        <x:v>40</x:v>
      </x:c>
      <x:c r="H27" s="46" t="str">
        <x:v>No</x:v>
      </x:c>
      <x:c r="I27" s="47" t="str">
        <x:v>Surface-based</x:v>
      </x:c>
      <x:c r="J27" s="47" t="str">
        <x:v>Tooth surfaces (optional)</x:v>
      </x:c>
      <x:c r="K27" s="47" t="str">
        <x:v>filling</x:v>
      </x:c>
      <x:c r="L27" s="47" t="str">
        <x:v>filling</x:v>
      </x:c>
      <x:c r="M27" s="47" t="str">
        <x:v>Composite resin</x:v>
      </x:c>
      <x:c r="N27" s="58" t="str">
        <x:v>#0F8B8D</x:v>
      </x:c>
      <x:c r="O27" s="50" t="str">
        <x:v>High</x:v>
      </x:c>
      <x:c r="P27" s="55" t="str">
        <x:v>Medium</x:v>
      </x:c>
      <x:c r="Q27" s="47" t="str">
        <x:v>Restoration/surface keyword; source toothRequired=false conflicts with suggested target</x:v>
      </x:c>
      <x:c r="R27" s="47" t="str">
        <x:v>Exact catalogue translation</x:v>
      </x:c>
      <x:c r="S27" s="52" t="str">
        <x:v>Yes</x:v>
      </x:c>
      <x:c r="T27" s="46" t="str"/>
      <x:c r="U27" s="47" t="str"/>
      <x:c r="V27" s="46" t="str">
        <x:v>d75cdea6fb64f59</x:v>
      </x:c>
    </x:row>
    <x:row r="28">
      <x:c r="A28" s="46" t="str">
        <x:v>1</x:v>
      </x:c>
      <x:c r="B28" s="46" t="str">
        <x:v>5061</x:v>
      </x:c>
      <x:c r="C28" s="46" t="str">
        <x:v>Οδον. Χειρουργική 1</x:v>
      </x:c>
      <x:c r="D28" s="47" t="str">
        <x:v>Επισκευή ρητίνης</x:v>
      </x:c>
      <x:c r="E28" s="47" t="str">
        <x:v>Repair of resin</x:v>
      </x:c>
      <x:c r="F28" s="47" t="str">
        <x:v>Reparatur von Komposit</x:v>
      </x:c>
      <x:c r="G28" s="48" t="n">
        <x:v>20</x:v>
      </x:c>
      <x:c r="H28" s="46" t="str">
        <x:v>Unknown</x:v>
      </x:c>
      <x:c r="I28" s="47" t="str">
        <x:v>Surface-based</x:v>
      </x:c>
      <x:c r="J28" s="47" t="str">
        <x:v>Tooth surfaces (optional)</x:v>
      </x:c>
      <x:c r="K28" s="47" t="str">
        <x:v>filling</x:v>
      </x:c>
      <x:c r="L28" s="47" t="str">
        <x:v>filling</x:v>
      </x:c>
      <x:c r="M28" s="47" t="str">
        <x:v>Composite resin</x:v>
      </x:c>
      <x:c r="N28" s="58" t="str">
        <x:v>#0F8B8D</x:v>
      </x:c>
      <x:c r="O28" s="55" t="str">
        <x:v>Medium</x:v>
      </x:c>
      <x:c r="P28" s="50" t="str">
        <x:v>High</x:v>
      </x:c>
      <x:c r="Q28" s="47" t="str">
        <x:v>Restoration/surface keyword</x:v>
      </x:c>
      <x:c r="R28" s="47" t="str">
        <x:v>Phrase-based clinical draft; language review recommended</x:v>
      </x:c>
      <x:c r="S28" s="56" t="str">
        <x:v>No</x:v>
      </x:c>
      <x:c r="T28" s="46" t="str"/>
      <x:c r="U28" s="47" t="str"/>
      <x:c r="V28" s="46" t="str">
        <x:v>dc5b6e85b295ef0</x:v>
      </x:c>
    </x:row>
    <x:row r="29">
      <x:c r="A29" s="46" t="str">
        <x:v>1</x:v>
      </x:c>
      <x:c r="B29" s="46" t="str">
        <x:v>86206</x:v>
      </x:c>
      <x:c r="C29" s="46" t="str">
        <x:v>Οδον. Χειρουργική 1</x:v>
      </x:c>
      <x:c r="D29" s="47" t="str">
        <x:v>Κλείσιμο διαστήματος με ρητίνη</x:v>
      </x:c>
      <x:c r="E29" s="47" t="str">
        <x:v>Diastema closure with composite</x:v>
      </x:c>
      <x:c r="F29" s="47" t="str">
        <x:v>Diastemaschluss mit Komposit</x:v>
      </x:c>
      <x:c r="G29" s="48" t="n">
        <x:v>50</x:v>
      </x:c>
      <x:c r="H29" s="46" t="str">
        <x:v>Yes</x:v>
      </x:c>
      <x:c r="I29" s="47" t="str">
        <x:v>Surface-based</x:v>
      </x:c>
      <x:c r="J29" s="47" t="str">
        <x:v>Tooth surfaces (optional)</x:v>
      </x:c>
      <x:c r="K29" s="47" t="str">
        <x:v>filling</x:v>
      </x:c>
      <x:c r="L29" s="47" t="str">
        <x:v>filling</x:v>
      </x:c>
      <x:c r="M29" s="47" t="str">
        <x:v>Composite resin</x:v>
      </x:c>
      <x:c r="N29" s="58" t="str">
        <x:v>#0F8B8D</x:v>
      </x:c>
      <x:c r="O29" s="50" t="str">
        <x:v>High</x:v>
      </x:c>
      <x:c r="P29" s="50" t="str">
        <x:v>High</x:v>
      </x:c>
      <x:c r="Q29" s="47" t="str">
        <x:v>Restoration/surface keyword</x:v>
      </x:c>
      <x:c r="R29" s="47" t="str">
        <x:v>Exact catalogue translation</x:v>
      </x:c>
      <x:c r="S29" s="56" t="str">
        <x:v>No</x:v>
      </x:c>
      <x:c r="T29" s="46" t="str"/>
      <x:c r="U29" s="47" t="str"/>
      <x:c r="V29" s="46" t="str">
        <x:v>d327f75e2794f91</x:v>
      </x:c>
    </x:row>
    <x:row r="30">
      <x:c r="A30" s="46" t="str">
        <x:v>1</x:v>
      </x:c>
      <x:c r="B30" s="46" t="str">
        <x:v>86137</x:v>
      </x:c>
      <x:c r="C30" s="46" t="str">
        <x:v>Οδον. Χειρουργική 1</x:v>
      </x:c>
      <x:c r="D30" s="47" t="str">
        <x:v>Ουδέτερο στρώμα</x:v>
      </x:c>
      <x:c r="E30" s="47" t="str">
        <x:v>Liner/base</x:v>
      </x:c>
      <x:c r="F30" s="47" t="str">
        <x:v>Unterfüllung</x:v>
      </x:c>
      <x:c r="G30" s="48" t="n">
        <x:v>0</x:v>
      </x:c>
      <x:c r="H30" s="46" t="str">
        <x:v>Unknown</x:v>
      </x:c>
      <x:c r="I30" s="47" t="str">
        <x:v>Patient-level / history only</x:v>
      </x:c>
      <x:c r="J30" s="47" t="str">
        <x:v>Patient</x:v>
      </x:c>
      <x:c r="K30" s="47" t="str">
        <x:v>none</x:v>
      </x:c>
      <x:c r="L30" s="47" t="str">
        <x:v>general-note</x:v>
      </x:c>
      <x:c r="M30" s="47" t="str">
        <x:v>Not specified</x:v>
      </x:c>
      <x:c r="N30" s="58" t="str">
        <x:v>#0F8B8D</x:v>
      </x:c>
      <x:c r="O30" s="55" t="str">
        <x:v>Medium</x:v>
      </x:c>
      <x:c r="P30" s="51" t="str">
        <x:v>Needs review</x:v>
      </x:c>
      <x:c r="Q30" s="47" t="str">
        <x:v>Uncategorized legacy item; safe patient-level fallback</x:v>
      </x:c>
      <x:c r="R30" s="47" t="str">
        <x:v>Phrase-based clinical draft; language review recommended</x:v>
      </x:c>
      <x:c r="S30" s="52" t="str">
        <x:v>Yes</x:v>
      </x:c>
      <x:c r="T30" s="46" t="str"/>
      <x:c r="U30" s="47" t="str"/>
      <x:c r="V30" s="46" t="str">
        <x:v>d854db0c4966cae</x:v>
      </x:c>
    </x:row>
    <x:row r="31">
      <x:c r="A31" s="46" t="str">
        <x:v>1</x:v>
      </x:c>
      <x:c r="B31" s="46" t="str">
        <x:v>5045</x:v>
      </x:c>
      <x:c r="C31" s="46" t="str">
        <x:v>Οδον. Χειρουργική 1</x:v>
      </x:c>
      <x:c r="D31" s="47" t="str">
        <x:v>Όψη ρητίνης</x:v>
      </x:c>
      <x:c r="E31" s="47" t="str">
        <x:v>Composite veneer</x:v>
      </x:c>
      <x:c r="F31" s="47" t="str">
        <x:v>Kompositveneer</x:v>
      </x:c>
      <x:c r="G31" s="48" t="n">
        <x:v>100</x:v>
      </x:c>
      <x:c r="H31" s="46" t="str">
        <x:v>Unknown</x:v>
      </x:c>
      <x:c r="I31" s="47" t="str">
        <x:v>Surface-based</x:v>
      </x:c>
      <x:c r="J31" s="47" t="str">
        <x:v>Tooth surfaces (optional)</x:v>
      </x:c>
      <x:c r="K31" s="47" t="str">
        <x:v>filling</x:v>
      </x:c>
      <x:c r="L31" s="47" t="str">
        <x:v>filling</x:v>
      </x:c>
      <x:c r="M31" s="47" t="str">
        <x:v>Composite resin</x:v>
      </x:c>
      <x:c r="N31" s="58" t="str">
        <x:v>#0F8B8D</x:v>
      </x:c>
      <x:c r="O31" s="55" t="str">
        <x:v>Medium</x:v>
      </x:c>
      <x:c r="P31" s="50" t="str">
        <x:v>High</x:v>
      </x:c>
      <x:c r="Q31" s="47" t="str">
        <x:v>Restoration/surface keyword</x:v>
      </x:c>
      <x:c r="R31" s="47" t="str">
        <x:v>Phrase-based clinical draft; language review recommended</x:v>
      </x:c>
      <x:c r="S31" s="56" t="str">
        <x:v>No</x:v>
      </x:c>
      <x:c r="T31" s="46" t="str"/>
      <x:c r="U31" s="47" t="str"/>
      <x:c r="V31" s="46" t="str">
        <x:v>d5253b87ae7fde0</x:v>
      </x:c>
    </x:row>
    <x:row r="32">
      <x:c r="A32" s="46" t="str">
        <x:v>1</x:v>
      </x:c>
      <x:c r="B32" s="46" t="str">
        <x:v>86136</x:v>
      </x:c>
      <x:c r="C32" s="46" t="str">
        <x:v>Οδον. Χειρουργική 1</x:v>
      </x:c>
      <x:c r="D32" s="47" t="str">
        <x:v>Τοποθέτηση καρφίδας</x:v>
      </x:c>
      <x:c r="E32" s="47" t="str">
        <x:v>Pin placement</x:v>
      </x:c>
      <x:c r="F32" s="47" t="str">
        <x:v>Stiftsetzung</x:v>
      </x:c>
      <x:c r="G32" s="48" t="n">
        <x:v>10</x:v>
      </x:c>
      <x:c r="H32" s="46" t="str">
        <x:v>Yes</x:v>
      </x:c>
      <x:c r="I32" s="47" t="str">
        <x:v>Patient-level / history only</x:v>
      </x:c>
      <x:c r="J32" s="47" t="str">
        <x:v>Patient</x:v>
      </x:c>
      <x:c r="K32" s="47" t="str">
        <x:v>none</x:v>
      </x:c>
      <x:c r="L32" s="47" t="str">
        <x:v>general-note</x:v>
      </x:c>
      <x:c r="M32" s="47" t="str">
        <x:v>Not specified</x:v>
      </x:c>
      <x:c r="N32" s="58" t="str">
        <x:v>#0F8B8D</x:v>
      </x:c>
      <x:c r="O32" s="50" t="str">
        <x:v>High</x:v>
      </x:c>
      <x:c r="P32" s="51" t="str">
        <x:v>Needs review</x:v>
      </x:c>
      <x:c r="Q32" s="47" t="str">
        <x:v>Uncategorized legacy item; safe patient-level fallback</x:v>
      </x:c>
      <x:c r="R32" s="47" t="str">
        <x:v>Exact catalogue translation</x:v>
      </x:c>
      <x:c r="S32" s="52" t="str">
        <x:v>Yes</x:v>
      </x:c>
      <x:c r="T32" s="46" t="str"/>
      <x:c r="U32" s="47" t="str"/>
      <x:c r="V32" s="46" t="str">
        <x:v>d0f157f543d75c2</x:v>
      </x:c>
    </x:row>
    <x:row r="33">
      <x:c r="A33" s="46" t="str">
        <x:v>1</x:v>
      </x:c>
      <x:c r="B33" s="46" t="str">
        <x:v>86174</x:v>
      </x:c>
      <x:c r="C33" s="46" t="str">
        <x:v>Οδον. Χειρουργική 1</x:v>
      </x:c>
      <x:c r="D33" s="47" t="str">
        <x:v>Icon</x:v>
      </x:c>
      <x:c r="E33" s="47" t="str">
        <x:v>Icon resin infiltration</x:v>
      </x:c>
      <x:c r="F33" s="47" t="str">
        <x:v>Icon-Kariesinfiltration</x:v>
      </x:c>
      <x:c r="G33" s="48" t="n">
        <x:v>80</x:v>
      </x:c>
      <x:c r="H33" s="46" t="str">
        <x:v>Yes</x:v>
      </x:c>
      <x:c r="I33" s="47" t="str">
        <x:v>Patient-level / history only</x:v>
      </x:c>
      <x:c r="J33" s="47" t="str">
        <x:v>Patient</x:v>
      </x:c>
      <x:c r="K33" s="47" t="str">
        <x:v>none</x:v>
      </x:c>
      <x:c r="L33" s="47" t="str">
        <x:v>general-note</x:v>
      </x:c>
      <x:c r="M33" s="47" t="str">
        <x:v>Not specified</x:v>
      </x:c>
      <x:c r="N33" s="58" t="str">
        <x:v>#0F8B8D</x:v>
      </x:c>
      <x:c r="O33" s="50" t="str">
        <x:v>High</x:v>
      </x:c>
      <x:c r="P33" s="51" t="str">
        <x:v>Needs review</x:v>
      </x:c>
      <x:c r="Q33" s="47" t="str">
        <x:v>Uncategorized legacy item; safe patient-level fallback</x:v>
      </x:c>
      <x:c r="R33" s="47" t="str">
        <x:v>Exact catalogue translation</x:v>
      </x:c>
      <x:c r="S33" s="52" t="str">
        <x:v>Yes</x:v>
      </x:c>
      <x:c r="T33" s="46" t="str"/>
      <x:c r="U33" s="47" t="str"/>
      <x:c r="V33" s="46" t="str">
        <x:v>d61bae2538542a7</x:v>
      </x:c>
    </x:row>
    <x:row r="34">
      <x:c r="A34" s="46" t="str">
        <x:v>2</x:v>
      </x:c>
      <x:c r="B34" s="46" t="str">
        <x:v>4926</x:v>
      </x:c>
      <x:c r="C34" s="46" t="str">
        <x:v>Ενδοδοντία</x:v>
      </x:c>
      <x:c r="D34" s="47" t="str">
        <x:v>Ακρορριζεκτομή</x:v>
      </x:c>
      <x:c r="E34" s="47" t="str">
        <x:v>Apicoectomy</x:v>
      </x:c>
      <x:c r="F34" s="47" t="str">
        <x:v>Wurzelspitzenresektion</x:v>
      </x:c>
      <x:c r="G34" s="48" t="n">
        <x:v>200</x:v>
      </x:c>
      <x:c r="H34" s="46" t="str">
        <x:v>Unknown</x:v>
      </x:c>
      <x:c r="I34" s="47" t="str">
        <x:v>Whole tooth</x:v>
      </x:c>
      <x:c r="J34" s="47" t="str">
        <x:v>Single tooth</x:v>
      </x:c>
      <x:c r="K34" s="47" t="str">
        <x:v>rootCanal</x:v>
      </x:c>
      <x:c r="L34" s="47" t="str">
        <x:v>root-canal</x:v>
      </x:c>
      <x:c r="M34" s="47" t="str">
        <x:v>Not specified</x:v>
      </x:c>
      <x:c r="N34" s="60" t="str">
        <x:v>#246BCE</x:v>
      </x:c>
      <x:c r="O34" s="55" t="str">
        <x:v>Medium</x:v>
      </x:c>
      <x:c r="P34" s="50" t="str">
        <x:v>High</x:v>
      </x:c>
      <x:c r="Q34" s="47" t="str">
        <x:v>Endodontic group/keyword</x:v>
      </x:c>
      <x:c r="R34" s="47" t="str">
        <x:v>Phrase-based clinical draft; language review recommended</x:v>
      </x:c>
      <x:c r="S34" s="56" t="str">
        <x:v>No</x:v>
      </x:c>
      <x:c r="T34" s="46" t="str"/>
      <x:c r="U34" s="47" t="str"/>
      <x:c r="V34" s="46" t="str">
        <x:v>d9bab7b10443fc0</x:v>
      </x:c>
    </x:row>
    <x:row r="35">
      <x:c r="A35" s="46" t="str">
        <x:v>2</x:v>
      </x:c>
      <x:c r="B35" s="46" t="str">
        <x:v>86133</x:v>
      </x:c>
      <x:c r="C35" s="46" t="str">
        <x:v>Ενδοδοντία</x:v>
      </x:c>
      <x:c r="D35" s="47" t="str">
        <x:v>Αλλαγή φαρμάκου (Ευγενόλη)</x:v>
      </x:c>
      <x:c r="E35" s="47" t="str">
        <x:v>Medication change (eugenol)</x:v>
      </x:c>
      <x:c r="F35" s="47" t="str">
        <x:v>Medikamentenwechsel (Eugenol)</x:v>
      </x:c>
      <x:c r="G35" s="48" t="n">
        <x:v>0</x:v>
      </x:c>
      <x:c r="H35" s="46" t="str">
        <x:v>Unknown</x:v>
      </x:c>
      <x:c r="I35" s="47" t="str">
        <x:v>Whole tooth</x:v>
      </x:c>
      <x:c r="J35" s="47" t="str">
        <x:v>Single tooth</x:v>
      </x:c>
      <x:c r="K35" s="47" t="str">
        <x:v>rootCanal</x:v>
      </x:c>
      <x:c r="L35" s="47" t="str">
        <x:v>root-canal</x:v>
      </x:c>
      <x:c r="M35" s="47" t="str">
        <x:v>Eugenol</x:v>
      </x:c>
      <x:c r="N35" s="60" t="str">
        <x:v>#246BCE</x:v>
      </x:c>
      <x:c r="O35" s="50" t="str">
        <x:v>High</x:v>
      </x:c>
      <x:c r="P35" s="50" t="str">
        <x:v>High</x:v>
      </x:c>
      <x:c r="Q35" s="47" t="str">
        <x:v>Endodontic group/keyword</x:v>
      </x:c>
      <x:c r="R35" s="47" t="str">
        <x:v>Exact catalogue translation</x:v>
      </x:c>
      <x:c r="S35" s="56" t="str">
        <x:v>No</x:v>
      </x:c>
      <x:c r="T35" s="46" t="str"/>
      <x:c r="U35" s="47" t="str"/>
      <x:c r="V35" s="46" t="str">
        <x:v>d9ba787335629b0</x:v>
      </x:c>
    </x:row>
    <x:row r="36">
      <x:c r="A36" s="46" t="str">
        <x:v>2</x:v>
      </x:c>
      <x:c r="B36" s="46" t="str">
        <x:v>86046</x:v>
      </x:c>
      <x:c r="C36" s="46" t="str">
        <x:v>Ενδοδοντία</x:v>
      </x:c>
      <x:c r="D36" s="47" t="str">
        <x:v>Αλλαγή φαρμάκου (CaOH)</x:v>
      </x:c>
      <x:c r="E36" s="47" t="str">
        <x:v>Medication change (CaOH)</x:v>
      </x:c>
      <x:c r="F36" s="47" t="str">
        <x:v>Medikamentenwechsel (CaOH)</x:v>
      </x:c>
      <x:c r="G36" s="48" t="n">
        <x:v>0</x:v>
      </x:c>
      <x:c r="H36" s="46" t="str">
        <x:v>Unknown</x:v>
      </x:c>
      <x:c r="I36" s="47" t="str">
        <x:v>Whole tooth</x:v>
      </x:c>
      <x:c r="J36" s="47" t="str">
        <x:v>Single tooth</x:v>
      </x:c>
      <x:c r="K36" s="47" t="str">
        <x:v>rootCanal</x:v>
      </x:c>
      <x:c r="L36" s="47" t="str">
        <x:v>root-canal</x:v>
      </x:c>
      <x:c r="M36" s="47" t="str">
        <x:v>Calcium hydroxide</x:v>
      </x:c>
      <x:c r="N36" s="60" t="str">
        <x:v>#246BCE</x:v>
      </x:c>
      <x:c r="O36" s="55" t="str">
        <x:v>Medium</x:v>
      </x:c>
      <x:c r="P36" s="50" t="str">
        <x:v>High</x:v>
      </x:c>
      <x:c r="Q36" s="47" t="str">
        <x:v>Endodontic group/keyword</x:v>
      </x:c>
      <x:c r="R36" s="47" t="str">
        <x:v>Phrase-based clinical draft; language review recommended</x:v>
      </x:c>
      <x:c r="S36" s="56" t="str">
        <x:v>No</x:v>
      </x:c>
      <x:c r="T36" s="46" t="str"/>
      <x:c r="U36" s="47" t="str"/>
      <x:c r="V36" s="46" t="str">
        <x:v>d1a6d735bdfc806</x:v>
      </x:c>
    </x:row>
    <x:row r="37">
      <x:c r="A37" s="46" t="str">
        <x:v>2</x:v>
      </x:c>
      <x:c r="B37" s="46" t="str">
        <x:v>86048</x:v>
      </x:c>
      <x:c r="C37" s="46" t="str">
        <x:v>Ενδοδοντία</x:v>
      </x:c>
      <x:c r="D37" s="47" t="str">
        <x:v>Αλλαγή φαρμάκου (Cresophene)</x:v>
      </x:c>
      <x:c r="E37" s="47" t="str">
        <x:v>Medication change (Cresophene)</x:v>
      </x:c>
      <x:c r="F37" s="47" t="str">
        <x:v>Medikamentenwechsel (Cresophene)</x:v>
      </x:c>
      <x:c r="G37" s="48" t="n">
        <x:v>0</x:v>
      </x:c>
      <x:c r="H37" s="46" t="str">
        <x:v>Unknown</x:v>
      </x:c>
      <x:c r="I37" s="47" t="str">
        <x:v>Whole tooth</x:v>
      </x:c>
      <x:c r="J37" s="47" t="str">
        <x:v>Single tooth</x:v>
      </x:c>
      <x:c r="K37" s="47" t="str">
        <x:v>rootCanal</x:v>
      </x:c>
      <x:c r="L37" s="47" t="str">
        <x:v>root-canal</x:v>
      </x:c>
      <x:c r="M37" s="47" t="str">
        <x:v>Not specified</x:v>
      </x:c>
      <x:c r="N37" s="60" t="str">
        <x:v>#246BCE</x:v>
      </x:c>
      <x:c r="O37" s="55" t="str">
        <x:v>Medium</x:v>
      </x:c>
      <x:c r="P37" s="50" t="str">
        <x:v>High</x:v>
      </x:c>
      <x:c r="Q37" s="47" t="str">
        <x:v>Endodontic group/keyword</x:v>
      </x:c>
      <x:c r="R37" s="47" t="str">
        <x:v>Phrase-based clinical draft; language review recommended</x:v>
      </x:c>
      <x:c r="S37" s="56" t="str">
        <x:v>No</x:v>
      </x:c>
      <x:c r="T37" s="46" t="str"/>
      <x:c r="U37" s="47" t="str"/>
      <x:c r="V37" s="46" t="str">
        <x:v>dba45ee4d9a2398</x:v>
      </x:c>
    </x:row>
    <x:row r="38">
      <x:c r="A38" s="46" t="str">
        <x:v>2</x:v>
      </x:c>
      <x:c r="B38" s="46" t="str">
        <x:v>86047</x:v>
      </x:c>
      <x:c r="C38" s="46" t="str">
        <x:v>Ενδοδοντία</x:v>
      </x:c>
      <x:c r="D38" s="47" t="str">
        <x:v>Αλλαγή φαρμάκου (Ledermix)</x:v>
      </x:c>
      <x:c r="E38" s="47" t="str">
        <x:v>Medication change (Ledermix)</x:v>
      </x:c>
      <x:c r="F38" s="47" t="str">
        <x:v>Medikamentenwechsel (Ledermix)</x:v>
      </x:c>
      <x:c r="G38" s="48" t="n">
        <x:v>0</x:v>
      </x:c>
      <x:c r="H38" s="46" t="str">
        <x:v>Unknown</x:v>
      </x:c>
      <x:c r="I38" s="47" t="str">
        <x:v>Whole tooth</x:v>
      </x:c>
      <x:c r="J38" s="47" t="str">
        <x:v>Single tooth</x:v>
      </x:c>
      <x:c r="K38" s="47" t="str">
        <x:v>rootCanal</x:v>
      </x:c>
      <x:c r="L38" s="47" t="str">
        <x:v>root-canal</x:v>
      </x:c>
      <x:c r="M38" s="47" t="str">
        <x:v>Not specified</x:v>
      </x:c>
      <x:c r="N38" s="60" t="str">
        <x:v>#246BCE</x:v>
      </x:c>
      <x:c r="O38" s="55" t="str">
        <x:v>Medium</x:v>
      </x:c>
      <x:c r="P38" s="50" t="str">
        <x:v>High</x:v>
      </x:c>
      <x:c r="Q38" s="47" t="str">
        <x:v>Endodontic group/keyword</x:v>
      </x:c>
      <x:c r="R38" s="47" t="str">
        <x:v>Phrase-based clinical draft; language review recommended</x:v>
      </x:c>
      <x:c r="S38" s="56" t="str">
        <x:v>No</x:v>
      </x:c>
      <x:c r="T38" s="46" t="str"/>
      <x:c r="U38" s="47" t="str"/>
      <x:c r="V38" s="46" t="str">
        <x:v>d6c0d1ed02df4ee</x:v>
      </x:c>
    </x:row>
    <x:row r="39">
      <x:c r="A39" s="46" t="str">
        <x:v>2</x:v>
      </x:c>
      <x:c r="B39" s="46" t="str">
        <x:v>86087</x:v>
      </x:c>
      <x:c r="C39" s="46" t="str">
        <x:v>Ενδοδοντία</x:v>
      </x:c>
      <x:c r="D39" s="47" t="str">
        <x:v>Άμεση κάλυψη πολφού (CaOH)</x:v>
      </x:c>
      <x:c r="E39" s="47" t="str">
        <x:v>Direct pulp capping (CaOH)</x:v>
      </x:c>
      <x:c r="F39" s="47" t="str">
        <x:v>Direkte Pulpaüberkappung (CaOH)</x:v>
      </x:c>
      <x:c r="G39" s="48" t="n">
        <x:v>0</x:v>
      </x:c>
      <x:c r="H39" s="46" t="str">
        <x:v>Yes</x:v>
      </x:c>
      <x:c r="I39" s="47" t="str">
        <x:v>Whole tooth</x:v>
      </x:c>
      <x:c r="J39" s="47" t="str">
        <x:v>Single tooth</x:v>
      </x:c>
      <x:c r="K39" s="47" t="str">
        <x:v>rootCanal</x:v>
      </x:c>
      <x:c r="L39" s="47" t="str">
        <x:v>root-canal</x:v>
      </x:c>
      <x:c r="M39" s="47" t="str">
        <x:v>Calcium hydroxide</x:v>
      </x:c>
      <x:c r="N39" s="60" t="str">
        <x:v>#246BCE</x:v>
      </x:c>
      <x:c r="O39" s="55" t="str">
        <x:v>Medium</x:v>
      </x:c>
      <x:c r="P39" s="50" t="str">
        <x:v>High</x:v>
      </x:c>
      <x:c r="Q39" s="47" t="str">
        <x:v>Endodontic group/keyword</x:v>
      </x:c>
      <x:c r="R39" s="47" t="str">
        <x:v>Phrase-based clinical draft; language review recommended</x:v>
      </x:c>
      <x:c r="S39" s="56" t="str">
        <x:v>No</x:v>
      </x:c>
      <x:c r="T39" s="46" t="str"/>
      <x:c r="U39" s="47" t="str"/>
      <x:c r="V39" s="46" t="str">
        <x:v>db2c7c441cad29c</x:v>
      </x:c>
    </x:row>
    <x:row r="40">
      <x:c r="A40" s="46" t="str">
        <x:v>2</x:v>
      </x:c>
      <x:c r="B40" s="46" t="str">
        <x:v>86130</x:v>
      </x:c>
      <x:c r="C40" s="46" t="str">
        <x:v>Ενδοδοντία</x:v>
      </x:c>
      <x:c r="D40" s="47" t="str">
        <x:v>Διάνοιξη / Kanaele Darstellung</x:v>
      </x:c>
      <x:c r="E40" s="47" t="str">
        <x:v>Access opening / Kanaele Darstellung</x:v>
      </x:c>
      <x:c r="F40" s="47" t="str">
        <x:v>Trepanation / Kanaele Darstellung</x:v>
      </x:c>
      <x:c r="G40" s="48" t="n">
        <x:v>0</x:v>
      </x:c>
      <x:c r="H40" s="46" t="str">
        <x:v>Unknown</x:v>
      </x:c>
      <x:c r="I40" s="47" t="str">
        <x:v>Whole tooth</x:v>
      </x:c>
      <x:c r="J40" s="47" t="str">
        <x:v>Single tooth</x:v>
      </x:c>
      <x:c r="K40" s="47" t="str">
        <x:v>rootCanal</x:v>
      </x:c>
      <x:c r="L40" s="47" t="str">
        <x:v>root-canal</x:v>
      </x:c>
      <x:c r="M40" s="47" t="str">
        <x:v>Not specified</x:v>
      </x:c>
      <x:c r="N40" s="60" t="str">
        <x:v>#246BCE</x:v>
      </x:c>
      <x:c r="O40" s="55" t="str">
        <x:v>Medium</x:v>
      </x:c>
      <x:c r="P40" s="50" t="str">
        <x:v>High</x:v>
      </x:c>
      <x:c r="Q40" s="47" t="str">
        <x:v>Endodontic group/keyword</x:v>
      </x:c>
      <x:c r="R40" s="47" t="str">
        <x:v>Phrase-based clinical draft; language review recommended</x:v>
      </x:c>
      <x:c r="S40" s="56" t="str">
        <x:v>No</x:v>
      </x:c>
      <x:c r="T40" s="46" t="str"/>
      <x:c r="U40" s="47" t="str"/>
      <x:c r="V40" s="46" t="str">
        <x:v>d2a39338d738a73</x:v>
      </x:c>
    </x:row>
    <x:row r="41">
      <x:c r="A41" s="46" t="str">
        <x:v>2</x:v>
      </x:c>
      <x:c r="B41" s="46" t="str">
        <x:v>86131</x:v>
      </x:c>
      <x:c r="C41" s="46" t="str">
        <x:v>Ενδοδοντία</x:v>
      </x:c>
      <x:c r="D41" s="47" t="str">
        <x:v>Διεύρυνση ΡΣ</x:v>
      </x:c>
      <x:c r="E41" s="47" t="str">
        <x:v>Root-canal enlargement</x:v>
      </x:c>
      <x:c r="F41" s="47" t="str">
        <x:v>Wurzelkanalerweiterung</x:v>
      </x:c>
      <x:c r="G41" s="48" t="n">
        <x:v>0</x:v>
      </x:c>
      <x:c r="H41" s="46" t="str">
        <x:v>Unknown</x:v>
      </x:c>
      <x:c r="I41" s="47" t="str">
        <x:v>Whole tooth</x:v>
      </x:c>
      <x:c r="J41" s="47" t="str">
        <x:v>Single tooth</x:v>
      </x:c>
      <x:c r="K41" s="47" t="str">
        <x:v>rootCanal</x:v>
      </x:c>
      <x:c r="L41" s="47" t="str">
        <x:v>root-canal</x:v>
      </x:c>
      <x:c r="M41" s="47" t="str">
        <x:v>Not specified</x:v>
      </x:c>
      <x:c r="N41" s="60" t="str">
        <x:v>#246BCE</x:v>
      </x:c>
      <x:c r="O41" s="55" t="str">
        <x:v>Medium</x:v>
      </x:c>
      <x:c r="P41" s="50" t="str">
        <x:v>High</x:v>
      </x:c>
      <x:c r="Q41" s="47" t="str">
        <x:v>Endodontic group/keyword</x:v>
      </x:c>
      <x:c r="R41" s="47" t="str">
        <x:v>Phrase-based clinical draft; language review recommended</x:v>
      </x:c>
      <x:c r="S41" s="56" t="str">
        <x:v>No</x:v>
      </x:c>
      <x:c r="T41" s="46" t="str"/>
      <x:c r="U41" s="47" t="str"/>
      <x:c r="V41" s="46" t="str">
        <x:v>d74368dcf23ab66</x:v>
      </x:c>
    </x:row>
    <x:row r="42">
      <x:c r="A42" s="46" t="str">
        <x:v>2</x:v>
      </x:c>
      <x:c r="B42" s="46" t="str">
        <x:v>86088</x:v>
      </x:c>
      <x:c r="C42" s="46" t="str">
        <x:v>Ενδοδοντία</x:v>
      </x:c>
      <x:c r="D42" s="47" t="str">
        <x:v>Έμμεση κάλυψη πολφού (CaOH)</x:v>
      </x:c>
      <x:c r="E42" s="47" t="str">
        <x:v>Indirect pulp capping (CaOH)</x:v>
      </x:c>
      <x:c r="F42" s="47" t="str">
        <x:v>Indirekte Pulpaüberkappung (CaOH)</x:v>
      </x:c>
      <x:c r="G42" s="48" t="n">
        <x:v>0</x:v>
      </x:c>
      <x:c r="H42" s="46" t="str">
        <x:v>Yes</x:v>
      </x:c>
      <x:c r="I42" s="47" t="str">
        <x:v>Whole tooth</x:v>
      </x:c>
      <x:c r="J42" s="47" t="str">
        <x:v>Single tooth</x:v>
      </x:c>
      <x:c r="K42" s="47" t="str">
        <x:v>rootCanal</x:v>
      </x:c>
      <x:c r="L42" s="47" t="str">
        <x:v>root-canal</x:v>
      </x:c>
      <x:c r="M42" s="47" t="str">
        <x:v>Calcium hydroxide</x:v>
      </x:c>
      <x:c r="N42" s="60" t="str">
        <x:v>#246BCE</x:v>
      </x:c>
      <x:c r="O42" s="55" t="str">
        <x:v>Medium</x:v>
      </x:c>
      <x:c r="P42" s="50" t="str">
        <x:v>High</x:v>
      </x:c>
      <x:c r="Q42" s="47" t="str">
        <x:v>Endodontic group/keyword</x:v>
      </x:c>
      <x:c r="R42" s="47" t="str">
        <x:v>Phrase-based clinical draft; language review recommended</x:v>
      </x:c>
      <x:c r="S42" s="56" t="str">
        <x:v>No</x:v>
      </x:c>
      <x:c r="T42" s="46" t="str"/>
      <x:c r="U42" s="47" t="str"/>
      <x:c r="V42" s="46" t="str">
        <x:v>d51ab4b445b2210</x:v>
      </x:c>
    </x:row>
    <x:row r="43">
      <x:c r="A43" s="46" t="str">
        <x:v>2</x:v>
      </x:c>
      <x:c r="B43" s="46" t="str">
        <x:v>5072</x:v>
      </x:c>
      <x:c r="C43" s="46" t="str">
        <x:v>Ενδοδοντία</x:v>
      </x:c>
      <x:c r="D43" s="47" t="str">
        <x:v>Ενδοδοντική θεραπεία γομφίου</x:v>
      </x:c>
      <x:c r="E43" s="47" t="str">
        <x:v>Root canal treatment of molar</x:v>
      </x:c>
      <x:c r="F43" s="47" t="str">
        <x:v>Wurzelkanalbehandlung eines Molaren</x:v>
      </x:c>
      <x:c r="G43" s="48" t="n">
        <x:v>180</x:v>
      </x:c>
      <x:c r="H43" s="46" t="str">
        <x:v>Yes</x:v>
      </x:c>
      <x:c r="I43" s="47" t="str">
        <x:v>Whole tooth</x:v>
      </x:c>
      <x:c r="J43" s="47" t="str">
        <x:v>Single tooth</x:v>
      </x:c>
      <x:c r="K43" s="47" t="str">
        <x:v>rootCanal</x:v>
      </x:c>
      <x:c r="L43" s="47" t="str">
        <x:v>root-canal</x:v>
      </x:c>
      <x:c r="M43" s="47" t="str">
        <x:v>Not specified</x:v>
      </x:c>
      <x:c r="N43" s="60" t="str">
        <x:v>#246BCE</x:v>
      </x:c>
      <x:c r="O43" s="55" t="str">
        <x:v>Medium</x:v>
      </x:c>
      <x:c r="P43" s="50" t="str">
        <x:v>High</x:v>
      </x:c>
      <x:c r="Q43" s="47" t="str">
        <x:v>Endodontic group/keyword</x:v>
      </x:c>
      <x:c r="R43" s="47" t="str">
        <x:v>Phrase-based clinical draft; language review recommended</x:v>
      </x:c>
      <x:c r="S43" s="56" t="str">
        <x:v>No</x:v>
      </x:c>
      <x:c r="T43" s="46" t="str"/>
      <x:c r="U43" s="47" t="str"/>
      <x:c r="V43" s="46" t="str">
        <x:v>d8fc480d3a20cff</x:v>
      </x:c>
    </x:row>
    <x:row r="44">
      <x:c r="A44" s="46" t="str">
        <x:v>2</x:v>
      </x:c>
      <x:c r="B44" s="46" t="str">
        <x:v>5070</x:v>
      </x:c>
      <x:c r="C44" s="46" t="str">
        <x:v>Ενδοδοντία</x:v>
      </x:c>
      <x:c r="D44" s="47" t="str">
        <x:v>Ενδοδοντική θεραπεία μονόριζου</x:v>
      </x:c>
      <x:c r="E44" s="47" t="str">
        <x:v>Root canal treatment of single-rooted tooth</x:v>
      </x:c>
      <x:c r="F44" s="47" t="str">
        <x:v>Wurzelkanalbehandlung eines einwurzeligen Zahns</x:v>
      </x:c>
      <x:c r="G44" s="48" t="n">
        <x:v>130</x:v>
      </x:c>
      <x:c r="H44" s="46" t="str">
        <x:v>Unknown</x:v>
      </x:c>
      <x:c r="I44" s="47" t="str">
        <x:v>Whole tooth</x:v>
      </x:c>
      <x:c r="J44" s="47" t="str">
        <x:v>Single tooth</x:v>
      </x:c>
      <x:c r="K44" s="47" t="str">
        <x:v>rootCanal</x:v>
      </x:c>
      <x:c r="L44" s="47" t="str">
        <x:v>root-canal</x:v>
      </x:c>
      <x:c r="M44" s="47" t="str">
        <x:v>Not specified</x:v>
      </x:c>
      <x:c r="N44" s="60" t="str">
        <x:v>#246BCE</x:v>
      </x:c>
      <x:c r="O44" s="55" t="str">
        <x:v>Medium</x:v>
      </x:c>
      <x:c r="P44" s="50" t="str">
        <x:v>High</x:v>
      </x:c>
      <x:c r="Q44" s="47" t="str">
        <x:v>Endodontic group/keyword</x:v>
      </x:c>
      <x:c r="R44" s="47" t="str">
        <x:v>Phrase-based clinical draft; language review recommended</x:v>
      </x:c>
      <x:c r="S44" s="56" t="str">
        <x:v>No</x:v>
      </x:c>
      <x:c r="T44" s="46" t="str"/>
      <x:c r="U44" s="47" t="str"/>
      <x:c r="V44" s="46" t="str">
        <x:v>d8318eceb0caf9e</x:v>
      </x:c>
    </x:row>
    <x:row r="45">
      <x:c r="A45" s="46" t="str">
        <x:v>2</x:v>
      </x:c>
      <x:c r="B45" s="46" t="str">
        <x:v>5071</x:v>
      </x:c>
      <x:c r="C45" s="46" t="str">
        <x:v>Ενδοδοντία</x:v>
      </x:c>
      <x:c r="D45" s="47" t="str">
        <x:v>Ενδοδοντική θεραπεία προγόμφιου</x:v>
      </x:c>
      <x:c r="E45" s="47" t="str">
        <x:v>Root canal treatment of premolar</x:v>
      </x:c>
      <x:c r="F45" s="47" t="str">
        <x:v>Wurzelkanalbehandlung eines Prämolaren</x:v>
      </x:c>
      <x:c r="G45" s="48" t="n">
        <x:v>150</x:v>
      </x:c>
      <x:c r="H45" s="46" t="str">
        <x:v>Unknown</x:v>
      </x:c>
      <x:c r="I45" s="47" t="str">
        <x:v>Whole tooth</x:v>
      </x:c>
      <x:c r="J45" s="47" t="str">
        <x:v>Single tooth</x:v>
      </x:c>
      <x:c r="K45" s="47" t="str">
        <x:v>rootCanal</x:v>
      </x:c>
      <x:c r="L45" s="47" t="str">
        <x:v>root-canal</x:v>
      </x:c>
      <x:c r="M45" s="47" t="str">
        <x:v>Not specified</x:v>
      </x:c>
      <x:c r="N45" s="60" t="str">
        <x:v>#246BCE</x:v>
      </x:c>
      <x:c r="O45" s="55" t="str">
        <x:v>Medium</x:v>
      </x:c>
      <x:c r="P45" s="50" t="str">
        <x:v>High</x:v>
      </x:c>
      <x:c r="Q45" s="47" t="str">
        <x:v>Endodontic group/keyword</x:v>
      </x:c>
      <x:c r="R45" s="47" t="str">
        <x:v>Phrase-based clinical draft; language review recommended</x:v>
      </x:c>
      <x:c r="S45" s="56" t="str">
        <x:v>No</x:v>
      </x:c>
      <x:c r="T45" s="46" t="str"/>
      <x:c r="U45" s="47" t="str"/>
      <x:c r="V45" s="46" t="str">
        <x:v>d623d71860ab2cc</x:v>
      </x:c>
    </x:row>
    <x:row r="46">
      <x:c r="A46" s="46" t="str">
        <x:v>2</x:v>
      </x:c>
      <x:c r="B46" s="46" t="str">
        <x:v>86051</x:v>
      </x:c>
      <x:c r="C46" s="46" t="str">
        <x:v>Ενδοδοντία</x:v>
      </x:c>
      <x:c r="D46" s="47" t="str">
        <x:v>Επανάληψη ενδοδοντικής θεραπείας</x:v>
      </x:c>
      <x:c r="E46" s="47" t="str">
        <x:v>Root canal retreatment</x:v>
      </x:c>
      <x:c r="F46" s="47" t="str">
        <x:v>Endodontische Revision</x:v>
      </x:c>
      <x:c r="G46" s="48" t="n">
        <x:v>0</x:v>
      </x:c>
      <x:c r="H46" s="46" t="str">
        <x:v>Yes</x:v>
      </x:c>
      <x:c r="I46" s="47" t="str">
        <x:v>Whole tooth</x:v>
      </x:c>
      <x:c r="J46" s="47" t="str">
        <x:v>Single tooth</x:v>
      </x:c>
      <x:c r="K46" s="47" t="str">
        <x:v>rootCanal</x:v>
      </x:c>
      <x:c r="L46" s="47" t="str">
        <x:v>root-canal</x:v>
      </x:c>
      <x:c r="M46" s="47" t="str">
        <x:v>Not specified</x:v>
      </x:c>
      <x:c r="N46" s="60" t="str">
        <x:v>#246BCE</x:v>
      </x:c>
      <x:c r="O46" s="55" t="str">
        <x:v>Medium</x:v>
      </x:c>
      <x:c r="P46" s="50" t="str">
        <x:v>High</x:v>
      </x:c>
      <x:c r="Q46" s="47" t="str">
        <x:v>Endodontic group/keyword</x:v>
      </x:c>
      <x:c r="R46" s="47" t="str">
        <x:v>Phrase-based clinical draft; language review recommended</x:v>
      </x:c>
      <x:c r="S46" s="56" t="str">
        <x:v>No</x:v>
      </x:c>
      <x:c r="T46" s="46" t="str"/>
      <x:c r="U46" s="47" t="str"/>
      <x:c r="V46" s="46" t="str">
        <x:v>db0bfa6ebd078bf</x:v>
      </x:c>
    </x:row>
    <x:row r="47">
      <x:c r="A47" s="46" t="str">
        <x:v>2</x:v>
      </x:c>
      <x:c r="B47" s="46" t="str">
        <x:v>86139</x:v>
      </x:c>
      <x:c r="C47" s="46" t="str">
        <x:v>Ενδοδοντία</x:v>
      </x:c>
      <x:c r="D47" s="47" t="str">
        <x:v>Ουδέτερο στρώμα</x:v>
      </x:c>
      <x:c r="E47" s="47" t="str">
        <x:v>Liner/base</x:v>
      </x:c>
      <x:c r="F47" s="47" t="str">
        <x:v>Unterfüllung</x:v>
      </x:c>
      <x:c r="G47" s="48" t="n">
        <x:v>0</x:v>
      </x:c>
      <x:c r="H47" s="46" t="str">
        <x:v>Unknown</x:v>
      </x:c>
      <x:c r="I47" s="47" t="str">
        <x:v>Whole tooth</x:v>
      </x:c>
      <x:c r="J47" s="47" t="str">
        <x:v>Single tooth</x:v>
      </x:c>
      <x:c r="K47" s="47" t="str">
        <x:v>rootCanal</x:v>
      </x:c>
      <x:c r="L47" s="47" t="str">
        <x:v>root-canal</x:v>
      </x:c>
      <x:c r="M47" s="47" t="str">
        <x:v>Not specified</x:v>
      </x:c>
      <x:c r="N47" s="60" t="str">
        <x:v>#246BCE</x:v>
      </x:c>
      <x:c r="O47" s="55" t="str">
        <x:v>Medium</x:v>
      </x:c>
      <x:c r="P47" s="50" t="str">
        <x:v>High</x:v>
      </x:c>
      <x:c r="Q47" s="47" t="str">
        <x:v>Endodontic group/keyword</x:v>
      </x:c>
      <x:c r="R47" s="47" t="str">
        <x:v>Phrase-based clinical draft; language review recommended</x:v>
      </x:c>
      <x:c r="S47" s="56" t="str">
        <x:v>No</x:v>
      </x:c>
      <x:c r="T47" s="46" t="str"/>
      <x:c r="U47" s="47" t="str"/>
      <x:c r="V47" s="46" t="str">
        <x:v>d78cbe365cc107b</x:v>
      </x:c>
    </x:row>
    <x:row r="48">
      <x:c r="A48" s="46" t="str">
        <x:v>2</x:v>
      </x:c>
      <x:c r="B48" s="46" t="str">
        <x:v>5031</x:v>
      </x:c>
      <x:c r="C48" s="46" t="str">
        <x:v>Ενδοδοντία</x:v>
      </x:c>
      <x:c r="D48" s="47" t="str">
        <x:v>Πολφοτομή</x:v>
      </x:c>
      <x:c r="E48" s="47" t="str">
        <x:v>Pulpotomy</x:v>
      </x:c>
      <x:c r="F48" s="47" t="str">
        <x:v>Pulpotomie</x:v>
      </x:c>
      <x:c r="G48" s="48" t="n">
        <x:v>50</x:v>
      </x:c>
      <x:c r="H48" s="46" t="str">
        <x:v>Unknown</x:v>
      </x:c>
      <x:c r="I48" s="47" t="str">
        <x:v>Whole tooth</x:v>
      </x:c>
      <x:c r="J48" s="47" t="str">
        <x:v>Single tooth</x:v>
      </x:c>
      <x:c r="K48" s="47" t="str">
        <x:v>rootCanal</x:v>
      </x:c>
      <x:c r="L48" s="47" t="str">
        <x:v>root-canal</x:v>
      </x:c>
      <x:c r="M48" s="47" t="str">
        <x:v>Not specified</x:v>
      </x:c>
      <x:c r="N48" s="60" t="str">
        <x:v>#246BCE</x:v>
      </x:c>
      <x:c r="O48" s="55" t="str">
        <x:v>Medium</x:v>
      </x:c>
      <x:c r="P48" s="50" t="str">
        <x:v>High</x:v>
      </x:c>
      <x:c r="Q48" s="47" t="str">
        <x:v>Endodontic group/keyword</x:v>
      </x:c>
      <x:c r="R48" s="47" t="str">
        <x:v>Phrase-based clinical draft; language review recommended</x:v>
      </x:c>
      <x:c r="S48" s="56" t="str">
        <x:v>No</x:v>
      </x:c>
      <x:c r="T48" s="46" t="str"/>
      <x:c r="U48" s="47" t="str"/>
      <x:c r="V48" s="46" t="str">
        <x:v>d9b98042d5154ac</x:v>
      </x:c>
    </x:row>
    <x:row r="49">
      <x:c r="A49" s="46" t="str">
        <x:v>2</x:v>
      </x:c>
      <x:c r="B49" s="46" t="str">
        <x:v>86170</x:v>
      </x:c>
      <x:c r="C49" s="46" t="str">
        <x:v>Ενδοδοντία</x:v>
      </x:c>
      <x:c r="D49" s="47" t="str">
        <x:v>Τελική έμφραξη</x:v>
      </x:c>
      <x:c r="E49" s="47" t="str">
        <x:v>Final root filling</x:v>
      </x:c>
      <x:c r="F49" s="47" t="str">
        <x:v>Definitive Wurzelfüllung</x:v>
      </x:c>
      <x:c r="G49" s="48" t="n">
        <x:v>0</x:v>
      </x:c>
      <x:c r="H49" s="46" t="str">
        <x:v>Yes</x:v>
      </x:c>
      <x:c r="I49" s="47" t="str">
        <x:v>Surface-based</x:v>
      </x:c>
      <x:c r="J49" s="47" t="str">
        <x:v>Tooth surfaces (optional)</x:v>
      </x:c>
      <x:c r="K49" s="47" t="str">
        <x:v>filling</x:v>
      </x:c>
      <x:c r="L49" s="47" t="str">
        <x:v>filling</x:v>
      </x:c>
      <x:c r="M49" s="47" t="str">
        <x:v>Not specified</x:v>
      </x:c>
      <x:c r="N49" s="60" t="str">
        <x:v>#246BCE</x:v>
      </x:c>
      <x:c r="O49" s="55" t="str">
        <x:v>Medium</x:v>
      </x:c>
      <x:c r="P49" s="50" t="str">
        <x:v>High</x:v>
      </x:c>
      <x:c r="Q49" s="47" t="str">
        <x:v>Restoration/surface keyword</x:v>
      </x:c>
      <x:c r="R49" s="47" t="str">
        <x:v>Phrase-based clinical draft; language review recommended</x:v>
      </x:c>
      <x:c r="S49" s="56" t="str">
        <x:v>No</x:v>
      </x:c>
      <x:c r="T49" s="46" t="str"/>
      <x:c r="U49" s="47" t="str"/>
      <x:c r="V49" s="46" t="str">
        <x:v>d703b03c0750efc</x:v>
      </x:c>
    </x:row>
    <x:row r="50">
      <x:c r="A50" s="46" t="str">
        <x:v>2</x:v>
      </x:c>
      <x:c r="B50" s="46" t="str">
        <x:v>86132</x:v>
      </x:c>
      <x:c r="C50" s="46" t="str">
        <x:v>Ενδοδοντία</x:v>
      </x:c>
      <x:c r="D50" s="47" t="str">
        <x:v>Τοποθέτηση ευγενόλης</x:v>
      </x:c>
      <x:c r="E50" s="47" t="str">
        <x:v>Placement of eugenol</x:v>
      </x:c>
      <x:c r="F50" s="47" t="str">
        <x:v>Einbringen von Eugenol</x:v>
      </x:c>
      <x:c r="G50" s="48" t="n">
        <x:v>0</x:v>
      </x:c>
      <x:c r="H50" s="46" t="str">
        <x:v>Unknown</x:v>
      </x:c>
      <x:c r="I50" s="47" t="str">
        <x:v>Whole tooth</x:v>
      </x:c>
      <x:c r="J50" s="47" t="str">
        <x:v>Single tooth</x:v>
      </x:c>
      <x:c r="K50" s="47" t="str">
        <x:v>rootCanal</x:v>
      </x:c>
      <x:c r="L50" s="47" t="str">
        <x:v>root-canal</x:v>
      </x:c>
      <x:c r="M50" s="47" t="str">
        <x:v>Eugenol</x:v>
      </x:c>
      <x:c r="N50" s="60" t="str">
        <x:v>#246BCE</x:v>
      </x:c>
      <x:c r="O50" s="55" t="str">
        <x:v>Medium</x:v>
      </x:c>
      <x:c r="P50" s="50" t="str">
        <x:v>High</x:v>
      </x:c>
      <x:c r="Q50" s="47" t="str">
        <x:v>Endodontic group/keyword</x:v>
      </x:c>
      <x:c r="R50" s="47" t="str">
        <x:v>Phrase-based clinical draft; language review recommended</x:v>
      </x:c>
      <x:c r="S50" s="56" t="str">
        <x:v>No</x:v>
      </x:c>
      <x:c r="T50" s="46" t="str"/>
      <x:c r="U50" s="47" t="str"/>
      <x:c r="V50" s="46" t="str">
        <x:v>d2f0cc08ba84616</x:v>
      </x:c>
    </x:row>
    <x:row r="51">
      <x:c r="A51" s="46" t="str">
        <x:v>2</x:v>
      </x:c>
      <x:c r="B51" s="46" t="str">
        <x:v>86141</x:v>
      </x:c>
      <x:c r="C51" s="46" t="str">
        <x:v>Ενδοδοντία</x:v>
      </x:c>
      <x:c r="D51" s="47" t="str">
        <x:v>Τοποθέτηση ευκαλήπτου</x:v>
      </x:c>
      <x:c r="E51" s="47" t="str">
        <x:v>Placement of eucalyptus oil</x:v>
      </x:c>
      <x:c r="F51" s="47" t="str">
        <x:v>Einbringen von Eukalyptusöl</x:v>
      </x:c>
      <x:c r="G51" s="48" t="n">
        <x:v>0</x:v>
      </x:c>
      <x:c r="H51" s="46" t="str">
        <x:v>Unknown</x:v>
      </x:c>
      <x:c r="I51" s="47" t="str">
        <x:v>Whole tooth</x:v>
      </x:c>
      <x:c r="J51" s="47" t="str">
        <x:v>Single tooth</x:v>
      </x:c>
      <x:c r="K51" s="47" t="str">
        <x:v>rootCanal</x:v>
      </x:c>
      <x:c r="L51" s="47" t="str">
        <x:v>root-canal</x:v>
      </x:c>
      <x:c r="M51" s="47" t="str">
        <x:v>Not specified</x:v>
      </x:c>
      <x:c r="N51" s="60" t="str">
        <x:v>#246BCE</x:v>
      </x:c>
      <x:c r="O51" s="50" t="str">
        <x:v>High</x:v>
      </x:c>
      <x:c r="P51" s="50" t="str">
        <x:v>High</x:v>
      </x:c>
      <x:c r="Q51" s="47" t="str">
        <x:v>Endodontic group/keyword</x:v>
      </x:c>
      <x:c r="R51" s="47" t="str">
        <x:v>Exact catalogue translation</x:v>
      </x:c>
      <x:c r="S51" s="56" t="str">
        <x:v>No</x:v>
      </x:c>
      <x:c r="T51" s="46" t="str"/>
      <x:c r="U51" s="47" t="str"/>
      <x:c r="V51" s="46" t="str">
        <x:v>d8f5aae56932e50</x:v>
      </x:c>
    </x:row>
    <x:row r="52">
      <x:c r="A52" s="46" t="str">
        <x:v>2</x:v>
      </x:c>
      <x:c r="B52" s="46" t="str">
        <x:v>86135</x:v>
      </x:c>
      <x:c r="C52" s="46" t="str">
        <x:v>Ενδοδοντία</x:v>
      </x:c>
      <x:c r="D52" s="47" t="str">
        <x:v>Τοποθέτηση καρφίδας</x:v>
      </x:c>
      <x:c r="E52" s="47" t="str">
        <x:v>Pin placement</x:v>
      </x:c>
      <x:c r="F52" s="47" t="str">
        <x:v>Stiftsetzung</x:v>
      </x:c>
      <x:c r="G52" s="48" t="n">
        <x:v>10</x:v>
      </x:c>
      <x:c r="H52" s="46" t="str">
        <x:v>Yes</x:v>
      </x:c>
      <x:c r="I52" s="47" t="str">
        <x:v>Whole tooth</x:v>
      </x:c>
      <x:c r="J52" s="47" t="str">
        <x:v>Single tooth</x:v>
      </x:c>
      <x:c r="K52" s="47" t="str">
        <x:v>rootCanal</x:v>
      </x:c>
      <x:c r="L52" s="47" t="str">
        <x:v>root-canal</x:v>
      </x:c>
      <x:c r="M52" s="47" t="str">
        <x:v>Not specified</x:v>
      </x:c>
      <x:c r="N52" s="60" t="str">
        <x:v>#246BCE</x:v>
      </x:c>
      <x:c r="O52" s="50" t="str">
        <x:v>High</x:v>
      </x:c>
      <x:c r="P52" s="50" t="str">
        <x:v>High</x:v>
      </x:c>
      <x:c r="Q52" s="47" t="str">
        <x:v>Endodontic group/keyword</x:v>
      </x:c>
      <x:c r="R52" s="47" t="str">
        <x:v>Exact catalogue translation</x:v>
      </x:c>
      <x:c r="S52" s="56" t="str">
        <x:v>No</x:v>
      </x:c>
      <x:c r="T52" s="46" t="str"/>
      <x:c r="U52" s="47" t="str"/>
      <x:c r="V52" s="46" t="str">
        <x:v>dda047fe1ed55b5</x:v>
      </x:c>
    </x:row>
    <x:row r="53">
      <x:c r="A53" s="46" t="str">
        <x:v>2</x:v>
      </x:c>
      <x:c r="B53" s="46" t="str">
        <x:v>86165</x:v>
      </x:c>
      <x:c r="C53" s="46" t="str">
        <x:v>Ενδοδοντία</x:v>
      </x:c>
      <x:c r="D53" s="47" t="str">
        <x:v>Τοποθέτηση CaOH</x:v>
      </x:c>
      <x:c r="E53" s="47" t="str">
        <x:v>Placement of CaOH</x:v>
      </x:c>
      <x:c r="F53" s="47" t="str">
        <x:v>Einbringen von CaOH</x:v>
      </x:c>
      <x:c r="G53" s="48" t="n">
        <x:v>0</x:v>
      </x:c>
      <x:c r="H53" s="46" t="str">
        <x:v>Unknown</x:v>
      </x:c>
      <x:c r="I53" s="47" t="str">
        <x:v>Whole tooth</x:v>
      </x:c>
      <x:c r="J53" s="47" t="str">
        <x:v>Single tooth</x:v>
      </x:c>
      <x:c r="K53" s="47" t="str">
        <x:v>rootCanal</x:v>
      </x:c>
      <x:c r="L53" s="47" t="str">
        <x:v>root-canal</x:v>
      </x:c>
      <x:c r="M53" s="47" t="str">
        <x:v>Calcium hydroxide</x:v>
      </x:c>
      <x:c r="N53" s="60" t="str">
        <x:v>#246BCE</x:v>
      </x:c>
      <x:c r="O53" s="55" t="str">
        <x:v>Medium</x:v>
      </x:c>
      <x:c r="P53" s="50" t="str">
        <x:v>High</x:v>
      </x:c>
      <x:c r="Q53" s="47" t="str">
        <x:v>Endodontic group/keyword</x:v>
      </x:c>
      <x:c r="R53" s="47" t="str">
        <x:v>Phrase-based clinical draft; language review recommended</x:v>
      </x:c>
      <x:c r="S53" s="56" t="str">
        <x:v>No</x:v>
      </x:c>
      <x:c r="T53" s="46" t="str"/>
      <x:c r="U53" s="47" t="str"/>
      <x:c r="V53" s="46" t="str">
        <x:v>dbb1af56a5c9bcd</x:v>
      </x:c>
    </x:row>
    <x:row r="54">
      <x:c r="A54" s="46" t="str">
        <x:v>2</x:v>
      </x:c>
      <x:c r="B54" s="46" t="str">
        <x:v>86049</x:v>
      </x:c>
      <x:c r="C54" s="46" t="str">
        <x:v>Ενδοδοντία</x:v>
      </x:c>
      <x:c r="D54" s="47" t="str">
        <x:v>Τοποθέτηση Caustinerf</x:v>
      </x:c>
      <x:c r="E54" s="47" t="str">
        <x:v>Placement of Caustinerf</x:v>
      </x:c>
      <x:c r="F54" s="47" t="str">
        <x:v>Einbringen von Caustinerf</x:v>
      </x:c>
      <x:c r="G54" s="48" t="n">
        <x:v>0</x:v>
      </x:c>
      <x:c r="H54" s="46" t="str">
        <x:v>Unknown</x:v>
      </x:c>
      <x:c r="I54" s="47" t="str">
        <x:v>Whole tooth</x:v>
      </x:c>
      <x:c r="J54" s="47" t="str">
        <x:v>Single tooth</x:v>
      </x:c>
      <x:c r="K54" s="47" t="str">
        <x:v>rootCanal</x:v>
      </x:c>
      <x:c r="L54" s="47" t="str">
        <x:v>root-canal</x:v>
      </x:c>
      <x:c r="M54" s="47" t="str">
        <x:v>Not specified</x:v>
      </x:c>
      <x:c r="N54" s="60" t="str">
        <x:v>#246BCE</x:v>
      </x:c>
      <x:c r="O54" s="55" t="str">
        <x:v>Medium</x:v>
      </x:c>
      <x:c r="P54" s="50" t="str">
        <x:v>High</x:v>
      </x:c>
      <x:c r="Q54" s="47" t="str">
        <x:v>Endodontic group/keyword</x:v>
      </x:c>
      <x:c r="R54" s="47" t="str">
        <x:v>Phrase-based clinical draft; language review recommended</x:v>
      </x:c>
      <x:c r="S54" s="56" t="str">
        <x:v>No</x:v>
      </x:c>
      <x:c r="T54" s="46" t="str"/>
      <x:c r="U54" s="47" t="str"/>
      <x:c r="V54" s="46" t="str">
        <x:v>d65a62df1044049</x:v>
      </x:c>
    </x:row>
    <x:row r="55">
      <x:c r="A55" s="46" t="str">
        <x:v>2</x:v>
      </x:c>
      <x:c r="B55" s="46" t="str">
        <x:v>86050</x:v>
      </x:c>
      <x:c r="C55" s="46" t="str">
        <x:v>Ενδοδοντία</x:v>
      </x:c>
      <x:c r="D55" s="47" t="str">
        <x:v>Τοποθέτηση Depulpin</x:v>
      </x:c>
      <x:c r="E55" s="47" t="str">
        <x:v>Placement of Depulpin</x:v>
      </x:c>
      <x:c r="F55" s="47" t="str">
        <x:v>Einbringen von Depulpin</x:v>
      </x:c>
      <x:c r="G55" s="48" t="n">
        <x:v>0</x:v>
      </x:c>
      <x:c r="H55" s="46" t="str">
        <x:v>Unknown</x:v>
      </x:c>
      <x:c r="I55" s="47" t="str">
        <x:v>Whole tooth</x:v>
      </x:c>
      <x:c r="J55" s="47" t="str">
        <x:v>Single tooth</x:v>
      </x:c>
      <x:c r="K55" s="47" t="str">
        <x:v>rootCanal</x:v>
      </x:c>
      <x:c r="L55" s="47" t="str">
        <x:v>root-canal</x:v>
      </x:c>
      <x:c r="M55" s="47" t="str">
        <x:v>Not specified</x:v>
      </x:c>
      <x:c r="N55" s="60" t="str">
        <x:v>#246BCE</x:v>
      </x:c>
      <x:c r="O55" s="55" t="str">
        <x:v>Medium</x:v>
      </x:c>
      <x:c r="P55" s="50" t="str">
        <x:v>High</x:v>
      </x:c>
      <x:c r="Q55" s="47" t="str">
        <x:v>Endodontic group/keyword</x:v>
      </x:c>
      <x:c r="R55" s="47" t="str">
        <x:v>Phrase-based clinical draft; language review recommended</x:v>
      </x:c>
      <x:c r="S55" s="56" t="str">
        <x:v>No</x:v>
      </x:c>
      <x:c r="T55" s="46" t="str"/>
      <x:c r="U55" s="47" t="str"/>
      <x:c r="V55" s="46" t="str">
        <x:v>d41dbfe78886fa7</x:v>
      </x:c>
    </x:row>
    <x:row r="56">
      <x:c r="A56" s="46" t="str">
        <x:v>2</x:v>
      </x:c>
      <x:c r="B56" s="46" t="str">
        <x:v>86175</x:v>
      </x:c>
      <x:c r="C56" s="46" t="str">
        <x:v>Ενδοδοντία</x:v>
      </x:c>
      <x:c r="D56" s="47" t="str">
        <x:v>Τοποθέτηση MTA</x:v>
      </x:c>
      <x:c r="E56" s="47" t="str">
        <x:v>Placement of MTA</x:v>
      </x:c>
      <x:c r="F56" s="47" t="str">
        <x:v>Einbringen von MTA</x:v>
      </x:c>
      <x:c r="G56" s="48" t="n">
        <x:v>0</x:v>
      </x:c>
      <x:c r="H56" s="46" t="str">
        <x:v>Unknown</x:v>
      </x:c>
      <x:c r="I56" s="47" t="str">
        <x:v>Whole tooth</x:v>
      </x:c>
      <x:c r="J56" s="47" t="str">
        <x:v>Single tooth</x:v>
      </x:c>
      <x:c r="K56" s="47" t="str">
        <x:v>rootCanal</x:v>
      </x:c>
      <x:c r="L56" s="47" t="str">
        <x:v>root-canal</x:v>
      </x:c>
      <x:c r="M56" s="47" t="str">
        <x:v>MTA</x:v>
      </x:c>
      <x:c r="N56" s="60" t="str">
        <x:v>#246BCE</x:v>
      </x:c>
      <x:c r="O56" s="55" t="str">
        <x:v>Medium</x:v>
      </x:c>
      <x:c r="P56" s="50" t="str">
        <x:v>High</x:v>
      </x:c>
      <x:c r="Q56" s="47" t="str">
        <x:v>Endodontic group/keyword</x:v>
      </x:c>
      <x:c r="R56" s="47" t="str">
        <x:v>Phrase-based clinical draft; language review recommended</x:v>
      </x:c>
      <x:c r="S56" s="56" t="str">
        <x:v>No</x:v>
      </x:c>
      <x:c r="T56" s="46" t="str"/>
      <x:c r="U56" s="47" t="str"/>
      <x:c r="V56" s="46" t="str">
        <x:v>db8e681ecefec17</x:v>
      </x:c>
    </x:row>
    <x:row r="57">
      <x:c r="A57" s="46" t="str">
        <x:v>3</x:v>
      </x:c>
      <x:c r="B57" s="46" t="str">
        <x:v>86159</x:v>
      </x:c>
      <x:c r="C57" s="46" t="str">
        <x:v>Διάγνωση</x:v>
      </x:c>
      <x:c r="D57" s="47" t="str">
        <x:v>Ακρορυζική αλλοίωση</x:v>
      </x:c>
      <x:c r="E57" s="47" t="str">
        <x:v>Periapical lesion</x:v>
      </x:c>
      <x:c r="F57" s="47" t="str">
        <x:v>Periapikale Läsion</x:v>
      </x:c>
      <x:c r="G57" s="48" t="n">
        <x:v>0</x:v>
      </x:c>
      <x:c r="H57" s="46" t="str">
        <x:v>No</x:v>
      </x:c>
      <x:c r="I57" s="47" t="str">
        <x:v>Whole tooth</x:v>
      </x:c>
      <x:c r="J57" s="47" t="str">
        <x:v>Single tooth (if clinically specific)</x:v>
      </x:c>
      <x:c r="K57" s="47" t="str">
        <x:v>none</x:v>
      </x:c>
      <x:c r="L57" s="47" t="str">
        <x:v>diagnosis-marker</x:v>
      </x:c>
      <x:c r="M57" s="47" t="str">
        <x:v>Not specified</x:v>
      </x:c>
      <x:c r="N57" s="62" t="str">
        <x:v>#7A5AF8</x:v>
      </x:c>
      <x:c r="O57" s="50" t="str">
        <x:v>High</x:v>
      </x:c>
      <x:c r="P57" s="55" t="str">
        <x:v>Medium</x:v>
      </x:c>
      <x:c r="Q57" s="47" t="str">
        <x:v>Tooth diagnosis group; source toothRequired=false conflicts with suggested target</x:v>
      </x:c>
      <x:c r="R57" s="47" t="str">
        <x:v>Exact catalogue translation</x:v>
      </x:c>
      <x:c r="S57" s="52" t="str">
        <x:v>Yes</x:v>
      </x:c>
      <x:c r="T57" s="46" t="str"/>
      <x:c r="U57" s="47" t="str"/>
      <x:c r="V57" s="46" t="str">
        <x:v>d479b3a3dc923a2</x:v>
      </x:c>
    </x:row>
    <x:row r="58">
      <x:c r="A58" s="46" t="str">
        <x:v>3</x:v>
      </x:c>
      <x:c r="B58" s="46" t="str">
        <x:v>86122</x:v>
      </x:c>
      <x:c r="C58" s="46" t="str">
        <x:v>Διάγνωση</x:v>
      </x:c>
      <x:c r="D58" s="47" t="str">
        <x:v>Ακτινογραφία</x:v>
      </x:c>
      <x:c r="E58" s="47" t="str">
        <x:v>Radiograph</x:v>
      </x:c>
      <x:c r="F58" s="47" t="str">
        <x:v>Röntgenaufnahme</x:v>
      </x:c>
      <x:c r="G58" s="48" t="n">
        <x:v>0</x:v>
      </x:c>
      <x:c r="H58" s="46" t="str">
        <x:v>Unknown</x:v>
      </x:c>
      <x:c r="I58" s="47" t="str">
        <x:v>Patient-level / history only</x:v>
      </x:c>
      <x:c r="J58" s="47" t="str">
        <x:v>Patient / imaging record</x:v>
      </x:c>
      <x:c r="K58" s="47" t="str">
        <x:v>none</x:v>
      </x:c>
      <x:c r="L58" s="47" t="str">
        <x:v>radiograph</x:v>
      </x:c>
      <x:c r="M58" s="47" t="str">
        <x:v>Not specified</x:v>
      </x:c>
      <x:c r="N58" s="62" t="str">
        <x:v>#7A5AF8</x:v>
      </x:c>
      <x:c r="O58" s="50" t="str">
        <x:v>High</x:v>
      </x:c>
      <x:c r="P58" s="50" t="str">
        <x:v>High</x:v>
      </x:c>
      <x:c r="Q58" s="47" t="str">
        <x:v>Imaging diagnosis</x:v>
      </x:c>
      <x:c r="R58" s="47" t="str">
        <x:v>Exact catalogue translation</x:v>
      </x:c>
      <x:c r="S58" s="56" t="str">
        <x:v>No</x:v>
      </x:c>
      <x:c r="T58" s="46" t="str"/>
      <x:c r="U58" s="47" t="str"/>
      <x:c r="V58" s="46" t="str">
        <x:v>d2202d77a147f12</x:v>
      </x:c>
    </x:row>
    <x:row r="59">
      <x:c r="A59" s="46" t="str">
        <x:v>3</x:v>
      </x:c>
      <x:c r="B59" s="46" t="str">
        <x:v>4961</x:v>
      </x:c>
      <x:c r="C59" s="46" t="str">
        <x:v>Διάγνωση</x:v>
      </x:c>
      <x:c r="D59" s="47" t="str">
        <x:v>Ακτινογραφία δήξεως</x:v>
      </x:c>
      <x:c r="E59" s="47" t="str">
        <x:v>Bitewing radiograph</x:v>
      </x:c>
      <x:c r="F59" s="47" t="str">
        <x:v>Bissflügelaufnahme</x:v>
      </x:c>
      <x:c r="G59" s="48" t="n">
        <x:v>0</x:v>
      </x:c>
      <x:c r="H59" s="46" t="str">
        <x:v>Yes</x:v>
      </x:c>
      <x:c r="I59" s="47" t="str">
        <x:v>Patient-level / history only</x:v>
      </x:c>
      <x:c r="J59" s="47" t="str">
        <x:v>Patient / imaging record</x:v>
      </x:c>
      <x:c r="K59" s="47" t="str">
        <x:v>none</x:v>
      </x:c>
      <x:c r="L59" s="47" t="str">
        <x:v>radiograph</x:v>
      </x:c>
      <x:c r="M59" s="47" t="str">
        <x:v>Not specified</x:v>
      </x:c>
      <x:c r="N59" s="62" t="str">
        <x:v>#7A5AF8</x:v>
      </x:c>
      <x:c r="O59" s="55" t="str">
        <x:v>Medium</x:v>
      </x:c>
      <x:c r="P59" s="50" t="str">
        <x:v>High</x:v>
      </x:c>
      <x:c r="Q59" s="47" t="str">
        <x:v>Imaging diagnosis</x:v>
      </x:c>
      <x:c r="R59" s="47" t="str">
        <x:v>Phrase-based clinical draft; language review recommended</x:v>
      </x:c>
      <x:c r="S59" s="56" t="str">
        <x:v>No</x:v>
      </x:c>
      <x:c r="T59" s="46" t="str"/>
      <x:c r="U59" s="47" t="str"/>
      <x:c r="V59" s="46" t="str">
        <x:v>daf03378af753d8</x:v>
      </x:c>
    </x:row>
    <x:row r="60">
      <x:c r="A60" s="46" t="str">
        <x:v>3</x:v>
      </x:c>
      <x:c r="B60" s="46" t="str">
        <x:v>86063</x:v>
      </x:c>
      <x:c r="C60" s="46" t="str">
        <x:v>Διάγνωση</x:v>
      </x:c>
      <x:c r="D60" s="47" t="str">
        <x:v>Ακτινογραφία εδάφους στόματος</x:v>
      </x:c>
      <x:c r="E60" s="47" t="str">
        <x:v>Occlusal radiograph</x:v>
      </x:c>
      <x:c r="F60" s="47" t="str">
        <x:v>Okklusalaufnahme</x:v>
      </x:c>
      <x:c r="G60" s="48" t="n">
        <x:v>0</x:v>
      </x:c>
      <x:c r="H60" s="46" t="str">
        <x:v>Unknown</x:v>
      </x:c>
      <x:c r="I60" s="47" t="str">
        <x:v>Patient-level / history only</x:v>
      </x:c>
      <x:c r="J60" s="47" t="str">
        <x:v>Patient / imaging record</x:v>
      </x:c>
      <x:c r="K60" s="47" t="str">
        <x:v>none</x:v>
      </x:c>
      <x:c r="L60" s="47" t="str">
        <x:v>radiograph</x:v>
      </x:c>
      <x:c r="M60" s="47" t="str">
        <x:v>Not specified</x:v>
      </x:c>
      <x:c r="N60" s="62" t="str">
        <x:v>#7A5AF8</x:v>
      </x:c>
      <x:c r="O60" s="55" t="str">
        <x:v>Medium</x:v>
      </x:c>
      <x:c r="P60" s="50" t="str">
        <x:v>High</x:v>
      </x:c>
      <x:c r="Q60" s="47" t="str">
        <x:v>Imaging diagnosis</x:v>
      </x:c>
      <x:c r="R60" s="47" t="str">
        <x:v>Phrase-based clinical draft; language review recommended</x:v>
      </x:c>
      <x:c r="S60" s="56" t="str">
        <x:v>No</x:v>
      </x:c>
      <x:c r="T60" s="46" t="str"/>
      <x:c r="U60" s="47" t="str"/>
      <x:c r="V60" s="46" t="str">
        <x:v>d8770b814bcda7a</x:v>
      </x:c>
    </x:row>
    <x:row r="61">
      <x:c r="A61" s="46" t="str">
        <x:v>3</x:v>
      </x:c>
      <x:c r="B61" s="46" t="str">
        <x:v>4962</x:v>
      </x:c>
      <x:c r="C61" s="46" t="str">
        <x:v>Διάγνωση</x:v>
      </x:c>
      <x:c r="D61" s="47" t="str">
        <x:v>Ακτινογραφία ενδοστοματική</x:v>
      </x:c>
      <x:c r="E61" s="47" t="str">
        <x:v>Intraoral radiograph</x:v>
      </x:c>
      <x:c r="F61" s="47" t="str">
        <x:v>Intraorale Röntgenaufnahme</x:v>
      </x:c>
      <x:c r="G61" s="48" t="n">
        <x:v>10</x:v>
      </x:c>
      <x:c r="H61" s="46" t="str">
        <x:v>Yes</x:v>
      </x:c>
      <x:c r="I61" s="47" t="str">
        <x:v>Patient-level / history only</x:v>
      </x:c>
      <x:c r="J61" s="47" t="str">
        <x:v>Patient / imaging record</x:v>
      </x:c>
      <x:c r="K61" s="47" t="str">
        <x:v>none</x:v>
      </x:c>
      <x:c r="L61" s="47" t="str">
        <x:v>radiograph</x:v>
      </x:c>
      <x:c r="M61" s="47" t="str">
        <x:v>Not specified</x:v>
      </x:c>
      <x:c r="N61" s="62" t="str">
        <x:v>#7A5AF8</x:v>
      </x:c>
      <x:c r="O61" s="55" t="str">
        <x:v>Medium</x:v>
      </x:c>
      <x:c r="P61" s="50" t="str">
        <x:v>High</x:v>
      </x:c>
      <x:c r="Q61" s="47" t="str">
        <x:v>Imaging diagnosis</x:v>
      </x:c>
      <x:c r="R61" s="47" t="str">
        <x:v>Phrase-based clinical draft; language review recommended</x:v>
      </x:c>
      <x:c r="S61" s="56" t="str">
        <x:v>No</x:v>
      </x:c>
      <x:c r="T61" s="46" t="str"/>
      <x:c r="U61" s="47" t="str"/>
      <x:c r="V61" s="46" t="str">
        <x:v>d6b70dc312888dd</x:v>
      </x:c>
    </x:row>
    <x:row r="62">
      <x:c r="A62" s="46" t="str">
        <x:v>3</x:v>
      </x:c>
      <x:c r="B62" s="46" t="str">
        <x:v>86031</x:v>
      </x:c>
      <x:c r="C62" s="46" t="str">
        <x:v>Διάγνωση</x:v>
      </x:c>
      <x:c r="D62" s="47" t="str">
        <x:v>Ανεπαρκής ενδοδοντική θεραπεία</x:v>
      </x:c>
      <x:c r="E62" s="47" t="str">
        <x:v>inadequate Root canal treatment of</x:v>
      </x:c>
      <x:c r="F62" s="47" t="str">
        <x:v>unzureichend Wurzelkanalbehandlung eines</x:v>
      </x:c>
      <x:c r="G62" s="48" t="n">
        <x:v>0</x:v>
      </x:c>
      <x:c r="H62" s="46" t="str">
        <x:v>Unknown</x:v>
      </x:c>
      <x:c r="I62" s="47" t="str">
        <x:v>Whole tooth</x:v>
      </x:c>
      <x:c r="J62" s="47" t="str">
        <x:v>Single tooth</x:v>
      </x:c>
      <x:c r="K62" s="47" t="str">
        <x:v>rootCanal</x:v>
      </x:c>
      <x:c r="L62" s="47" t="str">
        <x:v>root-canal</x:v>
      </x:c>
      <x:c r="M62" s="47" t="str">
        <x:v>Not specified</x:v>
      </x:c>
      <x:c r="N62" s="62" t="str">
        <x:v>#7A5AF8</x:v>
      </x:c>
      <x:c r="O62" s="55" t="str">
        <x:v>Medium</x:v>
      </x:c>
      <x:c r="P62" s="55" t="str">
        <x:v>Medium</x:v>
      </x:c>
      <x:c r="Q62" s="47" t="str">
        <x:v>Endodontic group/keyword</x:v>
      </x:c>
      <x:c r="R62" s="47" t="str">
        <x:v>Phrase-based clinical draft; language review recommended</x:v>
      </x:c>
      <x:c r="S62" s="52" t="str">
        <x:v>Yes</x:v>
      </x:c>
      <x:c r="T62" s="46" t="str"/>
      <x:c r="U62" s="47" t="str"/>
      <x:c r="V62" s="46" t="str">
        <x:v>d1aaa6091f9fc06</x:v>
      </x:c>
    </x:row>
    <x:row r="63">
      <x:c r="A63" s="46" t="str">
        <x:v>3</x:v>
      </x:c>
      <x:c r="B63" s="46" t="str">
        <x:v>86058</x:v>
      </x:c>
      <x:c r="C63" s="46" t="str">
        <x:v>Διάγνωση</x:v>
      </x:c>
      <x:c r="D63" s="47" t="str">
        <x:v>Αντιστρεπτή πολφίτιδα</x:v>
      </x:c>
      <x:c r="E63" s="47" t="str">
        <x:v>Reversible pulpitis</x:v>
      </x:c>
      <x:c r="F63" s="47" t="str">
        <x:v>Reversible Pulpitis</x:v>
      </x:c>
      <x:c r="G63" s="48" t="n">
        <x:v>0</x:v>
      </x:c>
      <x:c r="H63" s="46" t="str">
        <x:v>Unknown</x:v>
      </x:c>
      <x:c r="I63" s="47" t="str">
        <x:v>Whole tooth</x:v>
      </x:c>
      <x:c r="J63" s="47" t="str">
        <x:v>Single tooth</x:v>
      </x:c>
      <x:c r="K63" s="47" t="str">
        <x:v>rootCanal</x:v>
      </x:c>
      <x:c r="L63" s="47" t="str">
        <x:v>root-canal</x:v>
      </x:c>
      <x:c r="M63" s="47" t="str">
        <x:v>Not specified</x:v>
      </x:c>
      <x:c r="N63" s="62" t="str">
        <x:v>#7A5AF8</x:v>
      </x:c>
      <x:c r="O63" s="55" t="str">
        <x:v>Medium</x:v>
      </x:c>
      <x:c r="P63" s="55" t="str">
        <x:v>Medium</x:v>
      </x:c>
      <x:c r="Q63" s="47" t="str">
        <x:v>Endodontic group/keyword</x:v>
      </x:c>
      <x:c r="R63" s="47" t="str">
        <x:v>Phrase-based clinical draft; language review recommended</x:v>
      </x:c>
      <x:c r="S63" s="52" t="str">
        <x:v>Yes</x:v>
      </x:c>
      <x:c r="T63" s="46" t="str"/>
      <x:c r="U63" s="47" t="str"/>
      <x:c r="V63" s="46" t="str">
        <x:v>d7e791b37f2675b</x:v>
      </x:c>
    </x:row>
    <x:row r="64">
      <x:c r="A64" s="46" t="str">
        <x:v>3</x:v>
      </x:c>
      <x:c r="B64" s="46" t="str">
        <x:v>86143</x:v>
      </x:c>
      <x:c r="C64" s="46" t="str">
        <x:v>Διάγνωση</x:v>
      </x:c>
      <x:c r="D64" s="47" t="str">
        <x:v>Απόστημα</x:v>
      </x:c>
      <x:c r="E64" s="47" t="str">
        <x:v>Abscess</x:v>
      </x:c>
      <x:c r="F64" s="47" t="str">
        <x:v>Abszess</x:v>
      </x:c>
      <x:c r="G64" s="48" t="n">
        <x:v>0</x:v>
      </x:c>
      <x:c r="H64" s="46" t="str">
        <x:v>Unknown</x:v>
      </x:c>
      <x:c r="I64" s="47" t="str">
        <x:v>Whole tooth</x:v>
      </x:c>
      <x:c r="J64" s="47" t="str">
        <x:v>Single tooth (if clinically specific)</x:v>
      </x:c>
      <x:c r="K64" s="47" t="str">
        <x:v>none</x:v>
      </x:c>
      <x:c r="L64" s="47" t="str">
        <x:v>diagnosis-marker</x:v>
      </x:c>
      <x:c r="M64" s="47" t="str">
        <x:v>Not specified</x:v>
      </x:c>
      <x:c r="N64" s="62" t="str">
        <x:v>#7A5AF8</x:v>
      </x:c>
      <x:c r="O64" s="55" t="str">
        <x:v>Medium</x:v>
      </x:c>
      <x:c r="P64" s="50" t="str">
        <x:v>High</x:v>
      </x:c>
      <x:c r="Q64" s="47" t="str">
        <x:v>Tooth diagnosis group</x:v>
      </x:c>
      <x:c r="R64" s="47" t="str">
        <x:v>Phrase-based clinical draft; language review recommended</x:v>
      </x:c>
      <x:c r="S64" s="56" t="str">
        <x:v>No</x:v>
      </x:c>
      <x:c r="T64" s="46" t="str"/>
      <x:c r="U64" s="47" t="str"/>
      <x:c r="V64" s="46" t="str">
        <x:v>d18fd874eabe3d5</x:v>
      </x:c>
    </x:row>
    <x:row r="65">
      <x:c r="A65" s="46" t="str">
        <x:v>3</x:v>
      </x:c>
      <x:c r="B65" s="46" t="str">
        <x:v>86056</x:v>
      </x:c>
      <x:c r="C65" s="46" t="str">
        <x:v>Διάγνωση</x:v>
      </x:c>
      <x:c r="D65" s="47" t="str">
        <x:v>Αποτριβές οδόντων</x:v>
      </x:c>
      <x:c r="E65" s="47" t="str">
        <x:v>Tooth wear</x:v>
      </x:c>
      <x:c r="F65" s="47" t="str">
        <x:v>Zahnabrasionen</x:v>
      </x:c>
      <x:c r="G65" s="48" t="n">
        <x:v>0</x:v>
      </x:c>
      <x:c r="H65" s="46" t="str">
        <x:v>Unknown</x:v>
      </x:c>
      <x:c r="I65" s="47" t="str">
        <x:v>Whole tooth</x:v>
      </x:c>
      <x:c r="J65" s="47" t="str">
        <x:v>Single tooth (if clinically specific)</x:v>
      </x:c>
      <x:c r="K65" s="47" t="str">
        <x:v>none</x:v>
      </x:c>
      <x:c r="L65" s="47" t="str">
        <x:v>diagnosis-marker</x:v>
      </x:c>
      <x:c r="M65" s="47" t="str">
        <x:v>Not specified</x:v>
      </x:c>
      <x:c r="N65" s="62" t="str">
        <x:v>#7A5AF8</x:v>
      </x:c>
      <x:c r="O65" s="55" t="str">
        <x:v>Medium</x:v>
      </x:c>
      <x:c r="P65" s="50" t="str">
        <x:v>High</x:v>
      </x:c>
      <x:c r="Q65" s="47" t="str">
        <x:v>Tooth diagnosis group</x:v>
      </x:c>
      <x:c r="R65" s="47" t="str">
        <x:v>Phrase-based clinical draft; language review recommended</x:v>
      </x:c>
      <x:c r="S65" s="56" t="str">
        <x:v>No</x:v>
      </x:c>
      <x:c r="T65" s="46" t="str"/>
      <x:c r="U65" s="47" t="str"/>
      <x:c r="V65" s="46" t="str">
        <x:v>d5b5a3bfd3a5384</x:v>
      </x:c>
    </x:row>
    <x:row r="66">
      <x:c r="A66" s="46" t="str">
        <x:v>3</x:v>
      </x:c>
      <x:c r="B66" s="46" t="str">
        <x:v>86154</x:v>
      </x:c>
      <x:c r="C66" s="46" t="str">
        <x:v>Διάγνωση</x:v>
      </x:c>
      <x:c r="D66" s="47" t="str">
        <x:v>Αυχενική αποτριβή</x:v>
      </x:c>
      <x:c r="E66" s="47" t="str">
        <x:v>Cervical abrasion</x:v>
      </x:c>
      <x:c r="F66" s="47" t="str">
        <x:v>Zervikale Abrasion</x:v>
      </x:c>
      <x:c r="G66" s="48" t="n">
        <x:v>0</x:v>
      </x:c>
      <x:c r="H66" s="46" t="str">
        <x:v>Yes</x:v>
      </x:c>
      <x:c r="I66" s="47" t="str">
        <x:v>Whole tooth</x:v>
      </x:c>
      <x:c r="J66" s="47" t="str">
        <x:v>Single tooth (if clinically specific)</x:v>
      </x:c>
      <x:c r="K66" s="47" t="str">
        <x:v>none</x:v>
      </x:c>
      <x:c r="L66" s="47" t="str">
        <x:v>diagnosis-marker</x:v>
      </x:c>
      <x:c r="M66" s="47" t="str">
        <x:v>Not specified</x:v>
      </x:c>
      <x:c r="N66" s="62" t="str">
        <x:v>#7A5AF8</x:v>
      </x:c>
      <x:c r="O66" s="55" t="str">
        <x:v>Medium</x:v>
      </x:c>
      <x:c r="P66" s="50" t="str">
        <x:v>High</x:v>
      </x:c>
      <x:c r="Q66" s="47" t="str">
        <x:v>Tooth diagnosis group</x:v>
      </x:c>
      <x:c r="R66" s="47" t="str">
        <x:v>Phrase-based clinical draft; language review recommended</x:v>
      </x:c>
      <x:c r="S66" s="56" t="str">
        <x:v>No</x:v>
      </x:c>
      <x:c r="T66" s="46" t="str"/>
      <x:c r="U66" s="47" t="str"/>
      <x:c r="V66" s="46" t="str">
        <x:v>d9e4a7b8362d8b4</x:v>
      </x:c>
    </x:row>
    <x:row r="67">
      <x:c r="A67" s="46" t="str">
        <x:v>3</x:v>
      </x:c>
      <x:c r="B67" s="46" t="str">
        <x:v>86216</x:v>
      </x:c>
      <x:c r="C67" s="46" t="str">
        <x:v>Διάγνωση</x:v>
      </x:c>
      <x:c r="D67" s="47" t="str">
        <x:v>Αυχενική υπερευαισθησία</x:v>
      </x:c>
      <x:c r="E67" s="47" t="str">
        <x:v>Cervical hypersensitivity</x:v>
      </x:c>
      <x:c r="F67" s="47" t="str">
        <x:v>Zervikale Überempfindlichkeit</x:v>
      </x:c>
      <x:c r="G67" s="48" t="n">
        <x:v>0</x:v>
      </x:c>
      <x:c r="H67" s="46" t="str">
        <x:v>No</x:v>
      </x:c>
      <x:c r="I67" s="47" t="str">
        <x:v>Whole tooth</x:v>
      </x:c>
      <x:c r="J67" s="47" t="str">
        <x:v>Single tooth (if clinically specific)</x:v>
      </x:c>
      <x:c r="K67" s="47" t="str">
        <x:v>none</x:v>
      </x:c>
      <x:c r="L67" s="47" t="str">
        <x:v>diagnosis-marker</x:v>
      </x:c>
      <x:c r="M67" s="47" t="str">
        <x:v>Not specified</x:v>
      </x:c>
      <x:c r="N67" s="62" t="str">
        <x:v>#7A5AF8</x:v>
      </x:c>
      <x:c r="O67" s="55" t="str">
        <x:v>Medium</x:v>
      </x:c>
      <x:c r="P67" s="55" t="str">
        <x:v>Medium</x:v>
      </x:c>
      <x:c r="Q67" s="47" t="str">
        <x:v>Tooth diagnosis group; source toothRequired=false conflicts with suggested target</x:v>
      </x:c>
      <x:c r="R67" s="47" t="str">
        <x:v>Phrase-based clinical draft; language review recommended</x:v>
      </x:c>
      <x:c r="S67" s="52" t="str">
        <x:v>Yes</x:v>
      </x:c>
      <x:c r="T67" s="46" t="str"/>
      <x:c r="U67" s="47" t="str"/>
      <x:c r="V67" s="46" t="str">
        <x:v>d33766456bc11f2</x:v>
      </x:c>
    </x:row>
    <x:row r="68">
      <x:c r="A68" s="46" t="str">
        <x:v>3</x:v>
      </x:c>
      <x:c r="B68" s="46" t="str">
        <x:v>86055</x:v>
      </x:c>
      <x:c r="C68" s="46" t="str">
        <x:v>Διάγνωση</x:v>
      </x:c>
      <x:c r="D68" s="47" t="str">
        <x:v>Γενικευμένη ουλίτιδα</x:v>
      </x:c>
      <x:c r="E68" s="47" t="str">
        <x:v>Generalized gingivitis</x:v>
      </x:c>
      <x:c r="F68" s="47" t="str">
        <x:v>Generalisierte Gingivitis</x:v>
      </x:c>
      <x:c r="G68" s="48" t="n">
        <x:v>0</x:v>
      </x:c>
      <x:c r="H68" s="46" t="str">
        <x:v>Unknown</x:v>
      </x:c>
      <x:c r="I68" s="47" t="str">
        <x:v>Whole tooth</x:v>
      </x:c>
      <x:c r="J68" s="47" t="str">
        <x:v>Single tooth (if clinically specific)</x:v>
      </x:c>
      <x:c r="K68" s="47" t="str">
        <x:v>none</x:v>
      </x:c>
      <x:c r="L68" s="47" t="str">
        <x:v>diagnosis-marker</x:v>
      </x:c>
      <x:c r="M68" s="47" t="str">
        <x:v>Not specified</x:v>
      </x:c>
      <x:c r="N68" s="62" t="str">
        <x:v>#7A5AF8</x:v>
      </x:c>
      <x:c r="O68" s="55" t="str">
        <x:v>Medium</x:v>
      </x:c>
      <x:c r="P68" s="50" t="str">
        <x:v>High</x:v>
      </x:c>
      <x:c r="Q68" s="47" t="str">
        <x:v>Tooth diagnosis group</x:v>
      </x:c>
      <x:c r="R68" s="47" t="str">
        <x:v>Phrase-based clinical draft; language review recommended</x:v>
      </x:c>
      <x:c r="S68" s="56" t="str">
        <x:v>No</x:v>
      </x:c>
      <x:c r="T68" s="46" t="str"/>
      <x:c r="U68" s="47" t="str"/>
      <x:c r="V68" s="46" t="str">
        <x:v>d4b9572d8c77716</x:v>
      </x:c>
    </x:row>
    <x:row r="69">
      <x:c r="A69" s="46" t="str">
        <x:v>3</x:v>
      </x:c>
      <x:c r="B69" s="46" t="str">
        <x:v>86118</x:v>
      </x:c>
      <x:c r="C69" s="46" t="str">
        <x:v>Διάγνωση</x:v>
      </x:c>
      <x:c r="D69" s="47" t="str">
        <x:v>Δοκιμασία ζωτικότητας πολφού</x:v>
      </x:c>
      <x:c r="E69" s="47" t="str">
        <x:v>Pulp vitality test</x:v>
      </x:c>
      <x:c r="F69" s="47" t="str">
        <x:v>Vitalitätsprüfung der Pulpa</x:v>
      </x:c>
      <x:c r="G69" s="48" t="n">
        <x:v>0</x:v>
      </x:c>
      <x:c r="H69" s="46" t="str">
        <x:v>Unknown</x:v>
      </x:c>
      <x:c r="I69" s="47" t="str">
        <x:v>Whole tooth</x:v>
      </x:c>
      <x:c r="J69" s="47" t="str">
        <x:v>Single tooth</x:v>
      </x:c>
      <x:c r="K69" s="47" t="str">
        <x:v>rootCanal</x:v>
      </x:c>
      <x:c r="L69" s="47" t="str">
        <x:v>root-canal</x:v>
      </x:c>
      <x:c r="M69" s="47" t="str">
        <x:v>Not specified</x:v>
      </x:c>
      <x:c r="N69" s="62" t="str">
        <x:v>#7A5AF8</x:v>
      </x:c>
      <x:c r="O69" s="55" t="str">
        <x:v>Medium</x:v>
      </x:c>
      <x:c r="P69" s="55" t="str">
        <x:v>Medium</x:v>
      </x:c>
      <x:c r="Q69" s="47" t="str">
        <x:v>Endodontic group/keyword</x:v>
      </x:c>
      <x:c r="R69" s="47" t="str">
        <x:v>Phrase-based clinical draft; language review recommended</x:v>
      </x:c>
      <x:c r="S69" s="52" t="str">
        <x:v>Yes</x:v>
      </x:c>
      <x:c r="T69" s="46" t="str"/>
      <x:c r="U69" s="47" t="str"/>
      <x:c r="V69" s="46" t="str">
        <x:v>d2f77f949ecd564</x:v>
      </x:c>
    </x:row>
    <x:row r="70">
      <x:c r="A70" s="46" t="str">
        <x:v>3</x:v>
      </x:c>
      <x:c r="B70" s="46" t="str">
        <x:v>5076</x:v>
      </x:c>
      <x:c r="C70" s="46" t="str">
        <x:v>Διάγνωση</x:v>
      </x:c>
      <x:c r="D70" s="47" t="str">
        <x:v>Ελλείπον δόντι</x:v>
      </x:c>
      <x:c r="E70" s="47" t="str">
        <x:v>Missing tooth</x:v>
      </x:c>
      <x:c r="F70" s="47" t="str">
        <x:v>Fehlender Zahn</x:v>
      </x:c>
      <x:c r="G70" s="48" t="n">
        <x:v>0</x:v>
      </x:c>
      <x:c r="H70" s="46" t="str">
        <x:v>Unknown</x:v>
      </x:c>
      <x:c r="I70" s="47" t="str">
        <x:v>Whole tooth</x:v>
      </x:c>
      <x:c r="J70" s="47" t="str">
        <x:v>Single tooth (if clinically specific)</x:v>
      </x:c>
      <x:c r="K70" s="47" t="str">
        <x:v>none</x:v>
      </x:c>
      <x:c r="L70" s="47" t="str">
        <x:v>missing-tooth</x:v>
      </x:c>
      <x:c r="M70" s="47" t="str">
        <x:v>Not specified</x:v>
      </x:c>
      <x:c r="N70" s="62" t="str">
        <x:v>#7A5AF8</x:v>
      </x:c>
      <x:c r="O70" s="55" t="str">
        <x:v>Medium</x:v>
      </x:c>
      <x:c r="P70" s="50" t="str">
        <x:v>High</x:v>
      </x:c>
      <x:c r="Q70" s="47" t="str">
        <x:v>Tooth diagnosis group</x:v>
      </x:c>
      <x:c r="R70" s="47" t="str">
        <x:v>Phrase-based clinical draft; language review recommended</x:v>
      </x:c>
      <x:c r="S70" s="56" t="str">
        <x:v>No</x:v>
      </x:c>
      <x:c r="T70" s="46" t="str"/>
      <x:c r="U70" s="47" t="str"/>
      <x:c r="V70" s="46" t="str">
        <x:v>d4892885f034d01</x:v>
      </x:c>
    </x:row>
    <x:row r="71">
      <x:c r="A71" s="46" t="str">
        <x:v>3</x:v>
      </x:c>
      <x:c r="B71" s="46" t="str">
        <x:v>86204</x:v>
      </x:c>
      <x:c r="C71" s="46" t="str">
        <x:v>Διάγνωση</x:v>
      </x:c>
      <x:c r="D71" s="47" t="str">
        <x:v>Εξωτερική απορρόφηση</x:v>
      </x:c>
      <x:c r="E71" s="47" t="str">
        <x:v>External resorption</x:v>
      </x:c>
      <x:c r="F71" s="47" t="str">
        <x:v>Externe Resorption</x:v>
      </x:c>
      <x:c r="G71" s="48" t="n">
        <x:v>0</x:v>
      </x:c>
      <x:c r="H71" s="46" t="str">
        <x:v>Unknown</x:v>
      </x:c>
      <x:c r="I71" s="47" t="str">
        <x:v>Whole tooth</x:v>
      </x:c>
      <x:c r="J71" s="47" t="str">
        <x:v>Single tooth (if clinically specific)</x:v>
      </x:c>
      <x:c r="K71" s="47" t="str">
        <x:v>none</x:v>
      </x:c>
      <x:c r="L71" s="47" t="str">
        <x:v>diagnosis-marker</x:v>
      </x:c>
      <x:c r="M71" s="47" t="str">
        <x:v>Not specified</x:v>
      </x:c>
      <x:c r="N71" s="62" t="str">
        <x:v>#7A5AF8</x:v>
      </x:c>
      <x:c r="O71" s="55" t="str">
        <x:v>Medium</x:v>
      </x:c>
      <x:c r="P71" s="50" t="str">
        <x:v>High</x:v>
      </x:c>
      <x:c r="Q71" s="47" t="str">
        <x:v>Tooth diagnosis group</x:v>
      </x:c>
      <x:c r="R71" s="47" t="str">
        <x:v>Phrase-based clinical draft; language review recommended</x:v>
      </x:c>
      <x:c r="S71" s="56" t="str">
        <x:v>No</x:v>
      </x:c>
      <x:c r="T71" s="46" t="str"/>
      <x:c r="U71" s="47" t="str"/>
      <x:c r="V71" s="46" t="str">
        <x:v>d783967503a68e2</x:v>
      </x:c>
    </x:row>
    <x:row r="72">
      <x:c r="A72" s="46" t="str">
        <x:v>3</x:v>
      </x:c>
      <x:c r="B72" s="46" t="str">
        <x:v>86203</x:v>
      </x:c>
      <x:c r="C72" s="46" t="str">
        <x:v>Διάγνωση</x:v>
      </x:c>
      <x:c r="D72" s="47" t="str">
        <x:v>Εσωτερική απορρόφηση</x:v>
      </x:c>
      <x:c r="E72" s="47" t="str">
        <x:v>Internal resorption</x:v>
      </x:c>
      <x:c r="F72" s="47" t="str">
        <x:v>Interne Resorption</x:v>
      </x:c>
      <x:c r="G72" s="48" t="n">
        <x:v>0</x:v>
      </x:c>
      <x:c r="H72" s="46" t="str">
        <x:v>Unknown</x:v>
      </x:c>
      <x:c r="I72" s="47" t="str">
        <x:v>Whole tooth</x:v>
      </x:c>
      <x:c r="J72" s="47" t="str">
        <x:v>Single tooth (if clinically specific)</x:v>
      </x:c>
      <x:c r="K72" s="47" t="str">
        <x:v>none</x:v>
      </x:c>
      <x:c r="L72" s="47" t="str">
        <x:v>diagnosis-marker</x:v>
      </x:c>
      <x:c r="M72" s="47" t="str">
        <x:v>Not specified</x:v>
      </x:c>
      <x:c r="N72" s="62" t="str">
        <x:v>#7A5AF8</x:v>
      </x:c>
      <x:c r="O72" s="55" t="str">
        <x:v>Medium</x:v>
      </x:c>
      <x:c r="P72" s="50" t="str">
        <x:v>High</x:v>
      </x:c>
      <x:c r="Q72" s="47" t="str">
        <x:v>Tooth diagnosis group</x:v>
      </x:c>
      <x:c r="R72" s="47" t="str">
        <x:v>Phrase-based clinical draft; language review recommended</x:v>
      </x:c>
      <x:c r="S72" s="56" t="str">
        <x:v>No</x:v>
      </x:c>
      <x:c r="T72" s="46" t="str"/>
      <x:c r="U72" s="47" t="str"/>
      <x:c r="V72" s="46" t="str">
        <x:v>da236a864f67fb4</x:v>
      </x:c>
    </x:row>
    <x:row r="73">
      <x:c r="A73" s="46" t="str">
        <x:v>3</x:v>
      </x:c>
      <x:c r="B73" s="46" t="str">
        <x:v>86057</x:v>
      </x:c>
      <x:c r="C73" s="46" t="str">
        <x:v>Διάγνωση</x:v>
      </x:c>
      <x:c r="D73" s="47" t="str">
        <x:v>Κάταγμα έμφραξης</x:v>
      </x:c>
      <x:c r="E73" s="47" t="str">
        <x:v>Fractured restoration</x:v>
      </x:c>
      <x:c r="F73" s="47" t="str">
        <x:v>Füllungsfraktur</x:v>
      </x:c>
      <x:c r="G73" s="48" t="n">
        <x:v>0</x:v>
      </x:c>
      <x:c r="H73" s="46" t="str">
        <x:v>Unknown</x:v>
      </x:c>
      <x:c r="I73" s="47" t="str">
        <x:v>Surface-based</x:v>
      </x:c>
      <x:c r="J73" s="47" t="str">
        <x:v>Tooth surfaces (optional)</x:v>
      </x:c>
      <x:c r="K73" s="47" t="str">
        <x:v>filling</x:v>
      </x:c>
      <x:c r="L73" s="47" t="str">
        <x:v>filling</x:v>
      </x:c>
      <x:c r="M73" s="47" t="str">
        <x:v>Not specified</x:v>
      </x:c>
      <x:c r="N73" s="62" t="str">
        <x:v>#7A5AF8</x:v>
      </x:c>
      <x:c r="O73" s="55" t="str">
        <x:v>Medium</x:v>
      </x:c>
      <x:c r="P73" s="50" t="str">
        <x:v>High</x:v>
      </x:c>
      <x:c r="Q73" s="47" t="str">
        <x:v>Restoration/surface keyword</x:v>
      </x:c>
      <x:c r="R73" s="47" t="str">
        <x:v>Phrase-based clinical draft; language review recommended</x:v>
      </x:c>
      <x:c r="S73" s="56" t="str">
        <x:v>No</x:v>
      </x:c>
      <x:c r="T73" s="46" t="str"/>
      <x:c r="U73" s="47" t="str"/>
      <x:c r="V73" s="46" t="str">
        <x:v>d897778bb205e05</x:v>
      </x:c>
    </x:row>
    <x:row r="74">
      <x:c r="A74" s="46" t="str">
        <x:v>3</x:v>
      </x:c>
      <x:c r="B74" s="46" t="str">
        <x:v>86054</x:v>
      </x:c>
      <x:c r="C74" s="46" t="str">
        <x:v>Διάγνωση</x:v>
      </x:c>
      <x:c r="D74" s="47" t="str">
        <x:v>Κάταγμα οδόντος</x:v>
      </x:c>
      <x:c r="E74" s="47" t="str">
        <x:v>Tooth fracture</x:v>
      </x:c>
      <x:c r="F74" s="47" t="str">
        <x:v>Zahnfraktur</x:v>
      </x:c>
      <x:c r="G74" s="48" t="n">
        <x:v>0</x:v>
      </x:c>
      <x:c r="H74" s="46" t="str">
        <x:v>Unknown</x:v>
      </x:c>
      <x:c r="I74" s="47" t="str">
        <x:v>Whole tooth</x:v>
      </x:c>
      <x:c r="J74" s="47" t="str">
        <x:v>Single tooth (if clinically specific)</x:v>
      </x:c>
      <x:c r="K74" s="47" t="str">
        <x:v>none</x:v>
      </x:c>
      <x:c r="L74" s="47" t="str">
        <x:v>fracture</x:v>
      </x:c>
      <x:c r="M74" s="47" t="str">
        <x:v>Not specified</x:v>
      </x:c>
      <x:c r="N74" s="62" t="str">
        <x:v>#7A5AF8</x:v>
      </x:c>
      <x:c r="O74" s="55" t="str">
        <x:v>Medium</x:v>
      </x:c>
      <x:c r="P74" s="50" t="str">
        <x:v>High</x:v>
      </x:c>
      <x:c r="Q74" s="47" t="str">
        <x:v>Tooth diagnosis group</x:v>
      </x:c>
      <x:c r="R74" s="47" t="str">
        <x:v>Phrase-based clinical draft; language review recommended</x:v>
      </x:c>
      <x:c r="S74" s="56" t="str">
        <x:v>No</x:v>
      </x:c>
      <x:c r="T74" s="46" t="str"/>
      <x:c r="U74" s="47" t="str"/>
      <x:c r="V74" s="46" t="str">
        <x:v>d3fe584bafbaac9</x:v>
      </x:c>
    </x:row>
    <x:row r="75">
      <x:c r="A75" s="46" t="str">
        <x:v>3</x:v>
      </x:c>
      <x:c r="B75" s="46" t="str">
        <x:v>86059</x:v>
      </x:c>
      <x:c r="C75" s="46" t="str">
        <x:v>Διάγνωση</x:v>
      </x:c>
      <x:c r="D75" s="47" t="str">
        <x:v>Μη αντιστρεπτή πολφίτιδα</x:v>
      </x:c>
      <x:c r="E75" s="47" t="str">
        <x:v>Irreversible pulpitis</x:v>
      </x:c>
      <x:c r="F75" s="47" t="str">
        <x:v>Irreversible Pulpitis</x:v>
      </x:c>
      <x:c r="G75" s="48" t="n">
        <x:v>0</x:v>
      </x:c>
      <x:c r="H75" s="46" t="str">
        <x:v>Unknown</x:v>
      </x:c>
      <x:c r="I75" s="47" t="str">
        <x:v>Whole tooth</x:v>
      </x:c>
      <x:c r="J75" s="47" t="str">
        <x:v>Single tooth</x:v>
      </x:c>
      <x:c r="K75" s="47" t="str">
        <x:v>rootCanal</x:v>
      </x:c>
      <x:c r="L75" s="47" t="str">
        <x:v>root-canal</x:v>
      </x:c>
      <x:c r="M75" s="47" t="str">
        <x:v>Not specified</x:v>
      </x:c>
      <x:c r="N75" s="62" t="str">
        <x:v>#7A5AF8</x:v>
      </x:c>
      <x:c r="O75" s="50" t="str">
        <x:v>High</x:v>
      </x:c>
      <x:c r="P75" s="55" t="str">
        <x:v>Medium</x:v>
      </x:c>
      <x:c r="Q75" s="47" t="str">
        <x:v>Endodontic group/keyword</x:v>
      </x:c>
      <x:c r="R75" s="47" t="str">
        <x:v>Exact catalogue translation</x:v>
      </x:c>
      <x:c r="S75" s="52" t="str">
        <x:v>Yes</x:v>
      </x:c>
      <x:c r="T75" s="46" t="str"/>
      <x:c r="U75" s="47" t="str"/>
      <x:c r="V75" s="46" t="str">
        <x:v>d350b50b759b560</x:v>
      </x:c>
    </x:row>
    <x:row r="76">
      <x:c r="A76" s="46" t="str">
        <x:v>3</x:v>
      </x:c>
      <x:c r="B76" s="46" t="str">
        <x:v>86160</x:v>
      </x:c>
      <x:c r="C76" s="46" t="str">
        <x:v>Διάγνωση</x:v>
      </x:c>
      <x:c r="D76" s="47" t="str">
        <x:v>Νέκρωση</x:v>
      </x:c>
      <x:c r="E76" s="47" t="str">
        <x:v>Necrosis</x:v>
      </x:c>
      <x:c r="F76" s="47" t="str">
        <x:v>Nekrose</x:v>
      </x:c>
      <x:c r="G76" s="48" t="n">
        <x:v>0</x:v>
      </x:c>
      <x:c r="H76" s="46" t="str">
        <x:v>Yes</x:v>
      </x:c>
      <x:c r="I76" s="47" t="str">
        <x:v>Whole tooth</x:v>
      </x:c>
      <x:c r="J76" s="47" t="str">
        <x:v>Single tooth (if clinically specific)</x:v>
      </x:c>
      <x:c r="K76" s="47" t="str">
        <x:v>none</x:v>
      </x:c>
      <x:c r="L76" s="47" t="str">
        <x:v>diagnosis-marker</x:v>
      </x:c>
      <x:c r="M76" s="47" t="str">
        <x:v>Not specified</x:v>
      </x:c>
      <x:c r="N76" s="62" t="str">
        <x:v>#7A5AF8</x:v>
      </x:c>
      <x:c r="O76" s="55" t="str">
        <x:v>Medium</x:v>
      </x:c>
      <x:c r="P76" s="50" t="str">
        <x:v>High</x:v>
      </x:c>
      <x:c r="Q76" s="47" t="str">
        <x:v>Tooth diagnosis group</x:v>
      </x:c>
      <x:c r="R76" s="47" t="str">
        <x:v>Phrase-based clinical draft; language review recommended</x:v>
      </x:c>
      <x:c r="S76" s="56" t="str">
        <x:v>No</x:v>
      </x:c>
      <x:c r="T76" s="46" t="str"/>
      <x:c r="U76" s="47" t="str"/>
      <x:c r="V76" s="46" t="str">
        <x:v>ddeec5c0e975fd3</x:v>
      </x:c>
    </x:row>
    <x:row r="77">
      <x:c r="A77" s="46" t="str">
        <x:v>3</x:v>
      </x:c>
      <x:c r="B77" s="46" t="str">
        <x:v>86060</x:v>
      </x:c>
      <x:c r="C77" s="46" t="str">
        <x:v>Διάγνωση</x:v>
      </x:c>
      <x:c r="D77" s="47" t="str">
        <x:v>Νέκρωση πολφού</x:v>
      </x:c>
      <x:c r="E77" s="47" t="str">
        <x:v>Pulp necrosis</x:v>
      </x:c>
      <x:c r="F77" s="47" t="str">
        <x:v>Pulpanekrose</x:v>
      </x:c>
      <x:c r="G77" s="48" t="n">
        <x:v>0</x:v>
      </x:c>
      <x:c r="H77" s="46" t="str">
        <x:v>Unknown</x:v>
      </x:c>
      <x:c r="I77" s="47" t="str">
        <x:v>Whole tooth</x:v>
      </x:c>
      <x:c r="J77" s="47" t="str">
        <x:v>Single tooth</x:v>
      </x:c>
      <x:c r="K77" s="47" t="str">
        <x:v>rootCanal</x:v>
      </x:c>
      <x:c r="L77" s="47" t="str">
        <x:v>root-canal</x:v>
      </x:c>
      <x:c r="M77" s="47" t="str">
        <x:v>Not specified</x:v>
      </x:c>
      <x:c r="N77" s="62" t="str">
        <x:v>#7A5AF8</x:v>
      </x:c>
      <x:c r="O77" s="55" t="str">
        <x:v>Medium</x:v>
      </x:c>
      <x:c r="P77" s="55" t="str">
        <x:v>Medium</x:v>
      </x:c>
      <x:c r="Q77" s="47" t="str">
        <x:v>Endodontic group/keyword</x:v>
      </x:c>
      <x:c r="R77" s="47" t="str">
        <x:v>Phrase-based clinical draft; language review recommended</x:v>
      </x:c>
      <x:c r="S77" s="52" t="str">
        <x:v>Yes</x:v>
      </x:c>
      <x:c r="T77" s="46" t="str"/>
      <x:c r="U77" s="47" t="str"/>
      <x:c r="V77" s="46" t="str">
        <x:v>d54f48426869305</x:v>
      </x:c>
    </x:row>
    <x:row r="78">
      <x:c r="A78" s="46" t="str">
        <x:v>3</x:v>
      </x:c>
      <x:c r="B78" s="46" t="str">
        <x:v>86033</x:v>
      </x:c>
      <x:c r="C78" s="46" t="str">
        <x:v>Διάγνωση</x:v>
      </x:c>
      <x:c r="D78" s="47" t="str">
        <x:v>Παλιά γέφυρα</x:v>
      </x:c>
      <x:c r="E78" s="47" t="str">
        <x:v>old Bridge</x:v>
      </x:c>
      <x:c r="F78" s="47" t="str">
        <x:v>alt Brücke</x:v>
      </x:c>
      <x:c r="G78" s="48" t="n">
        <x:v>0</x:v>
      </x:c>
      <x:c r="H78" s="46" t="str">
        <x:v>No</x:v>
      </x:c>
      <x:c r="I78" s="47" t="str">
        <x:v>Bridge</x:v>
      </x:c>
      <x:c r="J78" s="47" t="str">
        <x:v>Multi-tooth bridge units</x:v>
      </x:c>
      <x:c r="K78" s="47" t="str">
        <x:v>bridge</x:v>
      </x:c>
      <x:c r="L78" s="47" t="str">
        <x:v>bridge</x:v>
      </x:c>
      <x:c r="M78" s="47" t="str">
        <x:v>Not specified</x:v>
      </x:c>
      <x:c r="N78" s="62" t="str">
        <x:v>#7A5AF8</x:v>
      </x:c>
      <x:c r="O78" s="55" t="str">
        <x:v>Medium</x:v>
      </x:c>
      <x:c r="P78" s="55" t="str">
        <x:v>Medium</x:v>
      </x:c>
      <x:c r="Q78" s="47" t="str">
        <x:v>Bridge/pontic keyword; source toothRequired=false conflicts with suggested target</x:v>
      </x:c>
      <x:c r="R78" s="47" t="str">
        <x:v>Phrase-based clinical draft; language review recommended</x:v>
      </x:c>
      <x:c r="S78" s="52" t="str">
        <x:v>Yes</x:v>
      </x:c>
      <x:c r="T78" s="46" t="str"/>
      <x:c r="U78" s="47" t="str"/>
      <x:c r="V78" s="46" t="str">
        <x:v>d385527f0d2adfd</x:v>
      </x:c>
    </x:row>
    <x:row r="79">
      <x:c r="A79" s="46" t="str">
        <x:v>3</x:v>
      </x:c>
      <x:c r="B79" s="46" t="str">
        <x:v>86146</x:v>
      </x:c>
      <x:c r="C79" s="46" t="str">
        <x:v>Διάγνωση</x:v>
      </x:c>
      <x:c r="D79" s="47" t="str">
        <x:v>Παλιά έμφραξη αμαλγάματος (ανεπαρκής)</x:v>
      </x:c>
      <x:c r="E79" s="47" t="str">
        <x:v>old Amalgam restoration (inadequate)</x:v>
      </x:c>
      <x:c r="F79" s="47" t="str">
        <x:v>alt Amalgamfüllung (unzureichend)</x:v>
      </x:c>
      <x:c r="G79" s="48" t="n">
        <x:v>0</x:v>
      </x:c>
      <x:c r="H79" s="46" t="str">
        <x:v>Yes</x:v>
      </x:c>
      <x:c r="I79" s="47" t="str">
        <x:v>Surface-based</x:v>
      </x:c>
      <x:c r="J79" s="47" t="str">
        <x:v>Tooth surfaces (optional)</x:v>
      </x:c>
      <x:c r="K79" s="47" t="str">
        <x:v>filling</x:v>
      </x:c>
      <x:c r="L79" s="47" t="str">
        <x:v>filling</x:v>
      </x:c>
      <x:c r="M79" s="47" t="str">
        <x:v>Amalgam</x:v>
      </x:c>
      <x:c r="N79" s="62" t="str">
        <x:v>#7A5AF8</x:v>
      </x:c>
      <x:c r="O79" s="55" t="str">
        <x:v>Medium</x:v>
      </x:c>
      <x:c r="P79" s="50" t="str">
        <x:v>High</x:v>
      </x:c>
      <x:c r="Q79" s="47" t="str">
        <x:v>Restoration/surface keyword</x:v>
      </x:c>
      <x:c r="R79" s="47" t="str">
        <x:v>Phrase-based clinical draft; language review recommended</x:v>
      </x:c>
      <x:c r="S79" s="56" t="str">
        <x:v>No</x:v>
      </x:c>
      <x:c r="T79" s="46" t="str"/>
      <x:c r="U79" s="47" t="str"/>
      <x:c r="V79" s="46" t="str">
        <x:v>dbe3be862fad410</x:v>
      </x:c>
    </x:row>
    <x:row r="80">
      <x:c r="A80" s="46" t="str">
        <x:v>3</x:v>
      </x:c>
      <x:c r="B80" s="46" t="str">
        <x:v>86098</x:v>
      </x:c>
      <x:c r="C80" s="46" t="str">
        <x:v>Διάγνωση</x:v>
      </x:c>
      <x:c r="D80" s="47" t="str">
        <x:v>Παλιά έμφραξη ρητίνης b (ανεπαρκής)</x:v>
      </x:c>
      <x:c r="E80" s="47" t="str">
        <x:v>old Composite restoration (buccal) (inadequate)</x:v>
      </x:c>
      <x:c r="F80" s="47" t="str">
        <x:v>alt Kompositfüllung (bukkal) (unzureichend)</x:v>
      </x:c>
      <x:c r="G80" s="48" t="n">
        <x:v>0</x:v>
      </x:c>
      <x:c r="H80" s="46" t="str">
        <x:v>Yes</x:v>
      </x:c>
      <x:c r="I80" s="47" t="str">
        <x:v>Surface-based</x:v>
      </x:c>
      <x:c r="J80" s="47" t="str">
        <x:v>Tooth surfaces (optional)</x:v>
      </x:c>
      <x:c r="K80" s="47" t="str">
        <x:v>filling</x:v>
      </x:c>
      <x:c r="L80" s="47" t="str">
        <x:v>filling</x:v>
      </x:c>
      <x:c r="M80" s="47" t="str">
        <x:v>Composite resin</x:v>
      </x:c>
      <x:c r="N80" s="62" t="str">
        <x:v>#7A5AF8</x:v>
      </x:c>
      <x:c r="O80" s="55" t="str">
        <x:v>Medium</x:v>
      </x:c>
      <x:c r="P80" s="50" t="str">
        <x:v>High</x:v>
      </x:c>
      <x:c r="Q80" s="47" t="str">
        <x:v>Restoration/surface keyword</x:v>
      </x:c>
      <x:c r="R80" s="47" t="str">
        <x:v>Phrase-based clinical draft; language review recommended</x:v>
      </x:c>
      <x:c r="S80" s="56" t="str">
        <x:v>No</x:v>
      </x:c>
      <x:c r="T80" s="46" t="str"/>
      <x:c r="U80" s="47" t="str"/>
      <x:c r="V80" s="46" t="str">
        <x:v>d244ecbd9642a34</x:v>
      </x:c>
    </x:row>
    <x:row r="81">
      <x:c r="A81" s="46" t="str">
        <x:v>3</x:v>
      </x:c>
      <x:c r="B81" s="46" t="str">
        <x:v>86074</x:v>
      </x:c>
      <x:c r="C81" s="46" t="str">
        <x:v>Διάγνωση</x:v>
      </x:c>
      <x:c r="D81" s="47" t="str">
        <x:v>Παλιά έμφραξη ρητίνης mo (ανεπαρκής)</x:v>
      </x:c>
      <x:c r="E81" s="47" t="str">
        <x:v>old Composite restoration (mesio-occlusal) (inadequate)</x:v>
      </x:c>
      <x:c r="F81" s="47" t="str">
        <x:v>alt Kompositfüllung (mesio-okklusal) (unzureichend)</x:v>
      </x:c>
      <x:c r="G81" s="48" t="n">
        <x:v>0</x:v>
      </x:c>
      <x:c r="H81" s="46" t="str">
        <x:v>Yes</x:v>
      </x:c>
      <x:c r="I81" s="47" t="str">
        <x:v>Surface-based</x:v>
      </x:c>
      <x:c r="J81" s="47" t="str">
        <x:v>Tooth surfaces (optional)</x:v>
      </x:c>
      <x:c r="K81" s="47" t="str">
        <x:v>filling</x:v>
      </x:c>
      <x:c r="L81" s="47" t="str">
        <x:v>filling</x:v>
      </x:c>
      <x:c r="M81" s="47" t="str">
        <x:v>Composite resin</x:v>
      </x:c>
      <x:c r="N81" s="62" t="str">
        <x:v>#7A5AF8</x:v>
      </x:c>
      <x:c r="O81" s="55" t="str">
        <x:v>Medium</x:v>
      </x:c>
      <x:c r="P81" s="50" t="str">
        <x:v>High</x:v>
      </x:c>
      <x:c r="Q81" s="47" t="str">
        <x:v>Restoration/surface keyword</x:v>
      </x:c>
      <x:c r="R81" s="47" t="str">
        <x:v>Phrase-based clinical draft; language review recommended</x:v>
      </x:c>
      <x:c r="S81" s="56" t="str">
        <x:v>No</x:v>
      </x:c>
      <x:c r="T81" s="46" t="str"/>
      <x:c r="U81" s="47" t="str"/>
      <x:c r="V81" s="46" t="str">
        <x:v>d42b6438114f38f</x:v>
      </x:c>
    </x:row>
    <x:row r="82">
      <x:c r="A82" s="46" t="str">
        <x:v>3</x:v>
      </x:c>
      <x:c r="B82" s="46" t="str">
        <x:v>86073</x:v>
      </x:c>
      <x:c r="C82" s="46" t="str">
        <x:v>Διάγνωση</x:v>
      </x:c>
      <x:c r="D82" s="47" t="str">
        <x:v>Παλιά έμφραξη ρητίνης mod (ανεπαρκής)</x:v>
      </x:c>
      <x:c r="E82" s="47" t="str">
        <x:v>old Composite restoration (mesio-occluso-distal) (inadequate)</x:v>
      </x:c>
      <x:c r="F82" s="47" t="str">
        <x:v>alt Kompositfüllung (mesio-okkluso-distal) (unzureichend)</x:v>
      </x:c>
      <x:c r="G82" s="48" t="n">
        <x:v>0</x:v>
      </x:c>
      <x:c r="H82" s="46" t="str">
        <x:v>Yes</x:v>
      </x:c>
      <x:c r="I82" s="47" t="str">
        <x:v>Surface-based</x:v>
      </x:c>
      <x:c r="J82" s="47" t="str">
        <x:v>Tooth surfaces (optional)</x:v>
      </x:c>
      <x:c r="K82" s="47" t="str">
        <x:v>filling</x:v>
      </x:c>
      <x:c r="L82" s="47" t="str">
        <x:v>filling</x:v>
      </x:c>
      <x:c r="M82" s="47" t="str">
        <x:v>Composite resin</x:v>
      </x:c>
      <x:c r="N82" s="62" t="str">
        <x:v>#7A5AF8</x:v>
      </x:c>
      <x:c r="O82" s="55" t="str">
        <x:v>Medium</x:v>
      </x:c>
      <x:c r="P82" s="50" t="str">
        <x:v>High</x:v>
      </x:c>
      <x:c r="Q82" s="47" t="str">
        <x:v>Restoration/surface keyword</x:v>
      </x:c>
      <x:c r="R82" s="47" t="str">
        <x:v>Phrase-based clinical draft; language review recommended</x:v>
      </x:c>
      <x:c r="S82" s="56" t="str">
        <x:v>No</x:v>
      </x:c>
      <x:c r="T82" s="46" t="str"/>
      <x:c r="U82" s="47" t="str"/>
      <x:c r="V82" s="46" t="str">
        <x:v>d9da06b70db8a77</x:v>
      </x:c>
    </x:row>
    <x:row r="83">
      <x:c r="A83" s="46" t="str">
        <x:v>3</x:v>
      </x:c>
      <x:c r="B83" s="46" t="str">
        <x:v>86071</x:v>
      </x:c>
      <x:c r="C83" s="46" t="str">
        <x:v>Διάγνωση</x:v>
      </x:c>
      <x:c r="D83" s="47" t="str">
        <x:v>Παλιά έμφραξη ρητίνης o (ανεπαρκής)</x:v>
      </x:c>
      <x:c r="E83" s="47" t="str">
        <x:v>old Composite restoration (occlusal) (inadequate)</x:v>
      </x:c>
      <x:c r="F83" s="47" t="str">
        <x:v>alt Kompositfüllung (okklusal) (unzureichend)</x:v>
      </x:c>
      <x:c r="G83" s="48" t="n">
        <x:v>0</x:v>
      </x:c>
      <x:c r="H83" s="46" t="str">
        <x:v>Yes</x:v>
      </x:c>
      <x:c r="I83" s="47" t="str">
        <x:v>Surface-based</x:v>
      </x:c>
      <x:c r="J83" s="47" t="str">
        <x:v>Tooth surfaces (optional)</x:v>
      </x:c>
      <x:c r="K83" s="47" t="str">
        <x:v>filling</x:v>
      </x:c>
      <x:c r="L83" s="47" t="str">
        <x:v>filling</x:v>
      </x:c>
      <x:c r="M83" s="47" t="str">
        <x:v>Composite resin</x:v>
      </x:c>
      <x:c r="N83" s="62" t="str">
        <x:v>#7A5AF8</x:v>
      </x:c>
      <x:c r="O83" s="55" t="str">
        <x:v>Medium</x:v>
      </x:c>
      <x:c r="P83" s="50" t="str">
        <x:v>High</x:v>
      </x:c>
      <x:c r="Q83" s="47" t="str">
        <x:v>Restoration/surface keyword</x:v>
      </x:c>
      <x:c r="R83" s="47" t="str">
        <x:v>Phrase-based clinical draft; language review recommended</x:v>
      </x:c>
      <x:c r="S83" s="56" t="str">
        <x:v>No</x:v>
      </x:c>
      <x:c r="T83" s="46" t="str"/>
      <x:c r="U83" s="47" t="str"/>
      <x:c r="V83" s="46" t="str">
        <x:v>d0907eb835ca384</x:v>
      </x:c>
    </x:row>
    <x:row r="84">
      <x:c r="A84" s="46" t="str">
        <x:v>3</x:v>
      </x:c>
      <x:c r="B84" s="46" t="str">
        <x:v>86072</x:v>
      </x:c>
      <x:c r="C84" s="46" t="str">
        <x:v>Διάγνωση</x:v>
      </x:c>
      <x:c r="D84" s="47" t="str">
        <x:v>Παλιά έμφραξη ρητίνης od (ανεπαρκής)</x:v>
      </x:c>
      <x:c r="E84" s="47" t="str">
        <x:v>old Composite restoration (occluso-distal) (inadequate)</x:v>
      </x:c>
      <x:c r="F84" s="47" t="str">
        <x:v>alt Kompositfüllung (okkluso-distal) (unzureichend)</x:v>
      </x:c>
      <x:c r="G84" s="48" t="n">
        <x:v>0</x:v>
      </x:c>
      <x:c r="H84" s="46" t="str">
        <x:v>Yes</x:v>
      </x:c>
      <x:c r="I84" s="47" t="str">
        <x:v>Surface-based</x:v>
      </x:c>
      <x:c r="J84" s="47" t="str">
        <x:v>Tooth surfaces (optional)</x:v>
      </x:c>
      <x:c r="K84" s="47" t="str">
        <x:v>filling</x:v>
      </x:c>
      <x:c r="L84" s="47" t="str">
        <x:v>filling</x:v>
      </x:c>
      <x:c r="M84" s="47" t="str">
        <x:v>Composite resin</x:v>
      </x:c>
      <x:c r="N84" s="62" t="str">
        <x:v>#7A5AF8</x:v>
      </x:c>
      <x:c r="O84" s="55" t="str">
        <x:v>Medium</x:v>
      </x:c>
      <x:c r="P84" s="50" t="str">
        <x:v>High</x:v>
      </x:c>
      <x:c r="Q84" s="47" t="str">
        <x:v>Restoration/surface keyword</x:v>
      </x:c>
      <x:c r="R84" s="47" t="str">
        <x:v>Phrase-based clinical draft; language review recommended</x:v>
      </x:c>
      <x:c r="S84" s="56" t="str">
        <x:v>No</x:v>
      </x:c>
      <x:c r="T84" s="46" t="str"/>
      <x:c r="U84" s="47" t="str"/>
      <x:c r="V84" s="46" t="str">
        <x:v>de963cc14c4e94b</x:v>
      </x:c>
    </x:row>
    <x:row r="85">
      <x:c r="A85" s="46" t="str">
        <x:v>3</x:v>
      </x:c>
      <x:c r="B85" s="46" t="str">
        <x:v>86034</x:v>
      </x:c>
      <x:c r="C85" s="46" t="str">
        <x:v>Διάγνωση</x:v>
      </x:c>
      <x:c r="D85" s="47" t="str">
        <x:v>Παλιά μερική οδοντοστοιχία</x:v>
      </x:c>
      <x:c r="E85" s="47" t="str">
        <x:v>old Partial denture</x:v>
      </x:c>
      <x:c r="F85" s="47" t="str">
        <x:v>alt Teilprothese</x:v>
      </x:c>
      <x:c r="G85" s="48" t="n">
        <x:v>0</x:v>
      </x:c>
      <x:c r="H85" s="46" t="str">
        <x:v>Unknown</x:v>
      </x:c>
      <x:c r="I85" s="47" t="str">
        <x:v>Removable prosthesis</x:v>
      </x:c>
      <x:c r="J85" s="47" t="str">
        <x:v>Arch / removable components</x:v>
      </x:c>
      <x:c r="K85" s="47" t="str">
        <x:v>none</x:v>
      </x:c>
      <x:c r="L85" s="47" t="str">
        <x:v>removable-prosthesis</x:v>
      </x:c>
      <x:c r="M85" s="47" t="str">
        <x:v>Not specified</x:v>
      </x:c>
      <x:c r="N85" s="62" t="str">
        <x:v>#7A5AF8</x:v>
      </x:c>
      <x:c r="O85" s="55" t="str">
        <x:v>Medium</x:v>
      </x:c>
      <x:c r="P85" s="50" t="str">
        <x:v>High</x:v>
      </x:c>
      <x:c r="Q85" s="47" t="str">
        <x:v>Removable-prosthesis group/keyword</x:v>
      </x:c>
      <x:c r="R85" s="47" t="str">
        <x:v>Phrase-based clinical draft; language review recommended</x:v>
      </x:c>
      <x:c r="S85" s="56" t="str">
        <x:v>No</x:v>
      </x:c>
      <x:c r="T85" s="46" t="str"/>
      <x:c r="U85" s="47" t="str"/>
      <x:c r="V85" s="46" t="str">
        <x:v>d9c99279e587bc6</x:v>
      </x:c>
    </x:row>
    <x:row r="86">
      <x:c r="A86" s="46" t="str">
        <x:v>3</x:v>
      </x:c>
      <x:c r="B86" s="46" t="str">
        <x:v>86029</x:v>
      </x:c>
      <x:c r="C86" s="46" t="str">
        <x:v>Διάγνωση</x:v>
      </x:c>
      <x:c r="D86" s="47" t="str">
        <x:v>Παλιά στεφάνη</x:v>
      </x:c>
      <x:c r="E86" s="47" t="str">
        <x:v>old Crown</x:v>
      </x:c>
      <x:c r="F86" s="47" t="str">
        <x:v>alt Krone</x:v>
      </x:c>
      <x:c r="G86" s="48" t="n">
        <x:v>0</x:v>
      </x:c>
      <x:c r="H86" s="46" t="str">
        <x:v>Unknown</x:v>
      </x:c>
      <x:c r="I86" s="47" t="str">
        <x:v>Whole tooth</x:v>
      </x:c>
      <x:c r="J86" s="47" t="str">
        <x:v>Single tooth</x:v>
      </x:c>
      <x:c r="K86" s="47" t="str">
        <x:v>crown</x:v>
      </x:c>
      <x:c r="L86" s="47" t="str">
        <x:v>crown</x:v>
      </x:c>
      <x:c r="M86" s="47" t="str">
        <x:v>Not specified</x:v>
      </x:c>
      <x:c r="N86" s="62" t="str">
        <x:v>#7A5AF8</x:v>
      </x:c>
      <x:c r="O86" s="55" t="str">
        <x:v>Medium</x:v>
      </x:c>
      <x:c r="P86" s="50" t="str">
        <x:v>High</x:v>
      </x:c>
      <x:c r="Q86" s="47" t="str">
        <x:v>Crown/veneer keyword</x:v>
      </x:c>
      <x:c r="R86" s="47" t="str">
        <x:v>Phrase-based clinical draft; language review recommended</x:v>
      </x:c>
      <x:c r="S86" s="56" t="str">
        <x:v>No</x:v>
      </x:c>
      <x:c r="T86" s="46" t="str"/>
      <x:c r="U86" s="47" t="str"/>
      <x:c r="V86" s="46" t="str">
        <x:v>d9249a0477246e5</x:v>
      </x:c>
    </x:row>
    <x:row r="87">
      <x:c r="A87" s="46" t="str">
        <x:v>3</x:v>
      </x:c>
      <x:c r="B87" s="46" t="str">
        <x:v>86032</x:v>
      </x:c>
      <x:c r="C87" s="46" t="str">
        <x:v>Διάγνωση</x:v>
      </x:c>
      <x:c r="D87" s="47" t="str">
        <x:v>Παλιό εμφύτευμα</x:v>
      </x:c>
      <x:c r="E87" s="47" t="str">
        <x:v>old Implant</x:v>
      </x:c>
      <x:c r="F87" s="47" t="str">
        <x:v>alt Implantat</x:v>
      </x:c>
      <x:c r="G87" s="48" t="n">
        <x:v>0</x:v>
      </x:c>
      <x:c r="H87" s="46" t="str">
        <x:v>Unknown</x:v>
      </x:c>
      <x:c r="I87" s="47" t="str">
        <x:v>Whole tooth</x:v>
      </x:c>
      <x:c r="J87" s="47" t="str">
        <x:v>Single tooth / implant site</x:v>
      </x:c>
      <x:c r="K87" s="47" t="str">
        <x:v>implant</x:v>
      </x:c>
      <x:c r="L87" s="47" t="str">
        <x:v>implant</x:v>
      </x:c>
      <x:c r="M87" s="47" t="str">
        <x:v>Implant / titanium</x:v>
      </x:c>
      <x:c r="N87" s="62" t="str">
        <x:v>#7A5AF8</x:v>
      </x:c>
      <x:c r="O87" s="55" t="str">
        <x:v>Medium</x:v>
      </x:c>
      <x:c r="P87" s="50" t="str">
        <x:v>High</x:v>
      </x:c>
      <x:c r="Q87" s="47" t="str">
        <x:v>Implant keyword</x:v>
      </x:c>
      <x:c r="R87" s="47" t="str">
        <x:v>Phrase-based clinical draft; language review recommended</x:v>
      </x:c>
      <x:c r="S87" s="56" t="str">
        <x:v>No</x:v>
      </x:c>
      <x:c r="T87" s="46" t="str"/>
      <x:c r="U87" s="47" t="str"/>
      <x:c r="V87" s="46" t="str">
        <x:v>dcc84d348b334ee</x:v>
      </x:c>
    </x:row>
    <x:row r="88">
      <x:c r="A88" s="46" t="str">
        <x:v>3</x:v>
      </x:c>
      <x:c r="B88" s="46" t="str">
        <x:v>86035</x:v>
      </x:c>
      <x:c r="C88" s="46" t="str">
        <x:v>Διάγνωση</x:v>
      </x:c>
      <x:c r="D88" s="47" t="str">
        <x:v>Παλιός άξονας</x:v>
      </x:c>
      <x:c r="E88" s="47" t="str">
        <x:v>Existing post</x:v>
      </x:c>
      <x:c r="F88" s="47" t="str">
        <x:v>Vorhandener Stiftaufbau</x:v>
      </x:c>
      <x:c r="G88" s="48" t="n">
        <x:v>0</x:v>
      </x:c>
      <x:c r="H88" s="46" t="str">
        <x:v>Unknown</x:v>
      </x:c>
      <x:c r="I88" s="47" t="str">
        <x:v>Whole tooth</x:v>
      </x:c>
      <x:c r="J88" s="47" t="str">
        <x:v>Single tooth (if clinically specific)</x:v>
      </x:c>
      <x:c r="K88" s="47" t="str">
        <x:v>none</x:v>
      </x:c>
      <x:c r="L88" s="47" t="str">
        <x:v>diagnosis-marker</x:v>
      </x:c>
      <x:c r="M88" s="47" t="str">
        <x:v>Not specified</x:v>
      </x:c>
      <x:c r="N88" s="62" t="str">
        <x:v>#7A5AF8</x:v>
      </x:c>
      <x:c r="O88" s="50" t="str">
        <x:v>High</x:v>
      </x:c>
      <x:c r="P88" s="50" t="str">
        <x:v>High</x:v>
      </x:c>
      <x:c r="Q88" s="47" t="str">
        <x:v>Tooth diagnosis group</x:v>
      </x:c>
      <x:c r="R88" s="47" t="str">
        <x:v>Exact catalogue translation</x:v>
      </x:c>
      <x:c r="S88" s="56" t="str">
        <x:v>No</x:v>
      </x:c>
      <x:c r="T88" s="46" t="str"/>
      <x:c r="U88" s="47" t="str"/>
      <x:c r="V88" s="46" t="str">
        <x:v>d70d0398282fe87</x:v>
      </x:c>
    </x:row>
    <x:row r="89">
      <x:c r="A89" s="46" t="str">
        <x:v>3</x:v>
      </x:c>
      <x:c r="B89" s="46" t="str">
        <x:v>86062</x:v>
      </x:c>
      <x:c r="C89" s="46" t="str">
        <x:v>Διάγνωση</x:v>
      </x:c>
      <x:c r="D89" s="47" t="str">
        <x:v>Πανοραμική ακτινογραφία</x:v>
      </x:c>
      <x:c r="E89" s="47" t="str">
        <x:v>Panoramic radiograph</x:v>
      </x:c>
      <x:c r="F89" s="47" t="str">
        <x:v>Panoramaschichtaufnahme</x:v>
      </x:c>
      <x:c r="G89" s="48" t="n">
        <x:v>0</x:v>
      </x:c>
      <x:c r="H89" s="46" t="str">
        <x:v>Unknown</x:v>
      </x:c>
      <x:c r="I89" s="47" t="str">
        <x:v>Patient-level / history only</x:v>
      </x:c>
      <x:c r="J89" s="47" t="str">
        <x:v>Patient / imaging record</x:v>
      </x:c>
      <x:c r="K89" s="47" t="str">
        <x:v>none</x:v>
      </x:c>
      <x:c r="L89" s="47" t="str">
        <x:v>radiograph</x:v>
      </x:c>
      <x:c r="M89" s="47" t="str">
        <x:v>Not specified</x:v>
      </x:c>
      <x:c r="N89" s="62" t="str">
        <x:v>#7A5AF8</x:v>
      </x:c>
      <x:c r="O89" s="55" t="str">
        <x:v>Medium</x:v>
      </x:c>
      <x:c r="P89" s="50" t="str">
        <x:v>High</x:v>
      </x:c>
      <x:c r="Q89" s="47" t="str">
        <x:v>Imaging diagnosis</x:v>
      </x:c>
      <x:c r="R89" s="47" t="str">
        <x:v>Phrase-based clinical draft; language review recommended</x:v>
      </x:c>
      <x:c r="S89" s="56" t="str">
        <x:v>No</x:v>
      </x:c>
      <x:c r="T89" s="46" t="str"/>
      <x:c r="U89" s="47" t="str"/>
      <x:c r="V89" s="46" t="str">
        <x:v>d5fca87d0eefa47</x:v>
      </x:c>
    </x:row>
    <x:row r="90">
      <x:c r="A90" s="46" t="str">
        <x:v>3</x:v>
      </x:c>
      <x:c r="B90" s="46" t="str">
        <x:v>86173</x:v>
      </x:c>
      <x:c r="C90" s="46" t="str">
        <x:v>Διάγνωση</x:v>
      </x:c>
      <x:c r="D90" s="47" t="str">
        <x:v>Περιεμφυτευματίτιδα</x:v>
      </x:c>
      <x:c r="E90" s="47" t="str">
        <x:v>Peri-implantitis</x:v>
      </x:c>
      <x:c r="F90" s="47" t="str">
        <x:v>Periimplantitis</x:v>
      </x:c>
      <x:c r="G90" s="48" t="n">
        <x:v>0</x:v>
      </x:c>
      <x:c r="H90" s="46" t="str">
        <x:v>Unknown</x:v>
      </x:c>
      <x:c r="I90" s="47" t="str">
        <x:v>Whole tooth</x:v>
      </x:c>
      <x:c r="J90" s="47" t="str">
        <x:v>Single tooth / implant site</x:v>
      </x:c>
      <x:c r="K90" s="47" t="str">
        <x:v>implant</x:v>
      </x:c>
      <x:c r="L90" s="47" t="str">
        <x:v>implant</x:v>
      </x:c>
      <x:c r="M90" s="47" t="str">
        <x:v>Implant / titanium</x:v>
      </x:c>
      <x:c r="N90" s="62" t="str">
        <x:v>#7A5AF8</x:v>
      </x:c>
      <x:c r="O90" s="55" t="str">
        <x:v>Medium</x:v>
      </x:c>
      <x:c r="P90" s="50" t="str">
        <x:v>High</x:v>
      </x:c>
      <x:c r="Q90" s="47" t="str">
        <x:v>Implant keyword</x:v>
      </x:c>
      <x:c r="R90" s="47" t="str">
        <x:v>Phrase-based clinical draft; language review recommended</x:v>
      </x:c>
      <x:c r="S90" s="56" t="str">
        <x:v>No</x:v>
      </x:c>
      <x:c r="T90" s="46" t="str"/>
      <x:c r="U90" s="47" t="str"/>
      <x:c r="V90" s="46" t="str">
        <x:v>d615e6f802f78d5</x:v>
      </x:c>
    </x:row>
    <x:row r="91">
      <x:c r="A91" s="46" t="str">
        <x:v>3</x:v>
      </x:c>
      <x:c r="B91" s="46" t="str">
        <x:v>86161</x:v>
      </x:c>
      <x:c r="C91" s="46" t="str">
        <x:v>Διάγνωση</x:v>
      </x:c>
      <x:c r="D91" s="47" t="str">
        <x:v>Περιοδοντίτιδα</x:v>
      </x:c>
      <x:c r="E91" s="47" t="str">
        <x:v>Periodontitis</x:v>
      </x:c>
      <x:c r="F91" s="47" t="str">
        <x:v>Parodontitis</x:v>
      </x:c>
      <x:c r="G91" s="48" t="n">
        <x:v>0</x:v>
      </x:c>
      <x:c r="H91" s="46" t="str">
        <x:v>Unknown</x:v>
      </x:c>
      <x:c r="I91" s="47" t="str">
        <x:v>Whole tooth</x:v>
      </x:c>
      <x:c r="J91" s="47" t="str">
        <x:v>Single tooth (if clinically specific)</x:v>
      </x:c>
      <x:c r="K91" s="47" t="str">
        <x:v>none</x:v>
      </x:c>
      <x:c r="L91" s="47" t="str">
        <x:v>diagnosis-marker</x:v>
      </x:c>
      <x:c r="M91" s="47" t="str">
        <x:v>Not specified</x:v>
      </x:c>
      <x:c r="N91" s="62" t="str">
        <x:v>#7A5AF8</x:v>
      </x:c>
      <x:c r="O91" s="55" t="str">
        <x:v>Medium</x:v>
      </x:c>
      <x:c r="P91" s="50" t="str">
        <x:v>High</x:v>
      </x:c>
      <x:c r="Q91" s="47" t="str">
        <x:v>Tooth diagnosis group</x:v>
      </x:c>
      <x:c r="R91" s="47" t="str">
        <x:v>Phrase-based clinical draft; language review recommended</x:v>
      </x:c>
      <x:c r="S91" s="56" t="str">
        <x:v>No</x:v>
      </x:c>
      <x:c r="T91" s="46" t="str"/>
      <x:c r="U91" s="47" t="str"/>
      <x:c r="V91" s="46" t="str">
        <x:v>d780049c98638d7</x:v>
      </x:c>
    </x:row>
    <x:row r="92">
      <x:c r="A92" s="46" t="str">
        <x:v>3</x:v>
      </x:c>
      <x:c r="B92" s="46" t="str">
        <x:v>86109</x:v>
      </x:c>
      <x:c r="C92" s="46" t="str">
        <x:v>Διάγνωση</x:v>
      </x:c>
      <x:c r="D92" s="47" t="str">
        <x:v>Περιστεφανίτιδα</x:v>
      </x:c>
      <x:c r="E92" s="47" t="str">
        <x:v>Pericoronitis</x:v>
      </x:c>
      <x:c r="F92" s="47" t="str">
        <x:v>Perikoronitis</x:v>
      </x:c>
      <x:c r="G92" s="48" t="n">
        <x:v>0</x:v>
      </x:c>
      <x:c r="H92" s="46" t="str">
        <x:v>Yes</x:v>
      </x:c>
      <x:c r="I92" s="47" t="str">
        <x:v>Whole tooth</x:v>
      </x:c>
      <x:c r="J92" s="47" t="str">
        <x:v>Single tooth</x:v>
      </x:c>
      <x:c r="K92" s="47" t="str">
        <x:v>crown</x:v>
      </x:c>
      <x:c r="L92" s="47" t="str">
        <x:v>crown</x:v>
      </x:c>
      <x:c r="M92" s="47" t="str">
        <x:v>Not specified</x:v>
      </x:c>
      <x:c r="N92" s="62" t="str">
        <x:v>#7A5AF8</x:v>
      </x:c>
      <x:c r="O92" s="55" t="str">
        <x:v>Medium</x:v>
      </x:c>
      <x:c r="P92" s="50" t="str">
        <x:v>High</x:v>
      </x:c>
      <x:c r="Q92" s="47" t="str">
        <x:v>Crown/veneer keyword</x:v>
      </x:c>
      <x:c r="R92" s="47" t="str">
        <x:v>Phrase-based clinical draft; language review recommended</x:v>
      </x:c>
      <x:c r="S92" s="56" t="str">
        <x:v>No</x:v>
      </x:c>
      <x:c r="T92" s="46" t="str"/>
      <x:c r="U92" s="47" t="str"/>
      <x:c r="V92" s="46" t="str">
        <x:v>d1bea9b131cab00</x:v>
      </x:c>
    </x:row>
    <x:row r="93">
      <x:c r="A93" s="46" t="str">
        <x:v>3</x:v>
      </x:c>
      <x:c r="B93" s="46" t="str">
        <x:v>86144</x:v>
      </x:c>
      <x:c r="C93" s="46" t="str">
        <x:v>Διάγνωση</x:v>
      </x:c>
      <x:c r="D93" s="47" t="str">
        <x:v>Συρίγγιο</x:v>
      </x:c>
      <x:c r="E93" s="47" t="str">
        <x:v>Fistula</x:v>
      </x:c>
      <x:c r="F93" s="47" t="str">
        <x:v>Fistel</x:v>
      </x:c>
      <x:c r="G93" s="48" t="n">
        <x:v>0</x:v>
      </x:c>
      <x:c r="H93" s="46" t="str">
        <x:v>Unknown</x:v>
      </x:c>
      <x:c r="I93" s="47" t="str">
        <x:v>Whole tooth</x:v>
      </x:c>
      <x:c r="J93" s="47" t="str">
        <x:v>Single tooth (if clinically specific)</x:v>
      </x:c>
      <x:c r="K93" s="47" t="str">
        <x:v>none</x:v>
      </x:c>
      <x:c r="L93" s="47" t="str">
        <x:v>diagnosis-marker</x:v>
      </x:c>
      <x:c r="M93" s="47" t="str">
        <x:v>Not specified</x:v>
      </x:c>
      <x:c r="N93" s="62" t="str">
        <x:v>#7A5AF8</x:v>
      </x:c>
      <x:c r="O93" s="55" t="str">
        <x:v>Medium</x:v>
      </x:c>
      <x:c r="P93" s="50" t="str">
        <x:v>High</x:v>
      </x:c>
      <x:c r="Q93" s="47" t="str">
        <x:v>Tooth diagnosis group</x:v>
      </x:c>
      <x:c r="R93" s="47" t="str">
        <x:v>Phrase-based clinical draft; language review recommended</x:v>
      </x:c>
      <x:c r="S93" s="56" t="str">
        <x:v>No</x:v>
      </x:c>
      <x:c r="T93" s="46" t="str"/>
      <x:c r="U93" s="47" t="str"/>
      <x:c r="V93" s="46" t="str">
        <x:v>dfeaac6a1e04149</x:v>
      </x:c>
    </x:row>
    <x:row r="94">
      <x:c r="A94" s="46" t="str">
        <x:v>3</x:v>
      </x:c>
      <x:c r="B94" s="46" t="str">
        <x:v>86110</x:v>
      </x:c>
      <x:c r="C94" s="46" t="str">
        <x:v>Διάγνωση</x:v>
      </x:c>
      <x:c r="D94" s="47" t="str">
        <x:v>Σφηνοειδείς αυχενικές διαβρώσεις</x:v>
      </x:c>
      <x:c r="E94" s="47" t="str">
        <x:v>Wedge-shaped cervical lesions</x:v>
      </x:c>
      <x:c r="F94" s="47" t="str">
        <x:v>Keilförmige zervikale Läsionen</x:v>
      </x:c>
      <x:c r="G94" s="48" t="n">
        <x:v>0</x:v>
      </x:c>
      <x:c r="H94" s="46" t="str">
        <x:v>Yes</x:v>
      </x:c>
      <x:c r="I94" s="47" t="str">
        <x:v>Whole tooth</x:v>
      </x:c>
      <x:c r="J94" s="47" t="str">
        <x:v>Single tooth (if clinically specific)</x:v>
      </x:c>
      <x:c r="K94" s="47" t="str">
        <x:v>none</x:v>
      </x:c>
      <x:c r="L94" s="47" t="str">
        <x:v>diagnosis-marker</x:v>
      </x:c>
      <x:c r="M94" s="47" t="str">
        <x:v>Not specified</x:v>
      </x:c>
      <x:c r="N94" s="62" t="str">
        <x:v>#7A5AF8</x:v>
      </x:c>
      <x:c r="O94" s="55" t="str">
        <x:v>Medium</x:v>
      </x:c>
      <x:c r="P94" s="50" t="str">
        <x:v>High</x:v>
      </x:c>
      <x:c r="Q94" s="47" t="str">
        <x:v>Tooth diagnosis group</x:v>
      </x:c>
      <x:c r="R94" s="47" t="str">
        <x:v>Phrase-based clinical draft; language review recommended</x:v>
      </x:c>
      <x:c r="S94" s="56" t="str">
        <x:v>No</x:v>
      </x:c>
      <x:c r="T94" s="46" t="str"/>
      <x:c r="U94" s="47" t="str"/>
      <x:c r="V94" s="46" t="str">
        <x:v>dd64dc341910f7d</x:v>
      </x:c>
    </x:row>
    <x:row r="95">
      <x:c r="A95" s="46" t="str">
        <x:v>3</x:v>
      </x:c>
      <x:c r="B95" s="46" t="str">
        <x:v>5077</x:v>
      </x:c>
      <x:c r="C95" s="46" t="str">
        <x:v>Διάγνωση</x:v>
      </x:c>
      <x:c r="D95" s="47" t="str">
        <x:v>Τερηδόνα</x:v>
      </x:c>
      <x:c r="E95" s="47" t="str">
        <x:v>Caries</x:v>
      </x:c>
      <x:c r="F95" s="47" t="str">
        <x:v>Karies</x:v>
      </x:c>
      <x:c r="G95" s="48" t="n">
        <x:v>0</x:v>
      </x:c>
      <x:c r="H95" s="46" t="str">
        <x:v>Yes</x:v>
      </x:c>
      <x:c r="I95" s="47" t="str">
        <x:v>Whole tooth</x:v>
      </x:c>
      <x:c r="J95" s="47" t="str">
        <x:v>Single tooth (if clinically specific)</x:v>
      </x:c>
      <x:c r="K95" s="47" t="str">
        <x:v>none</x:v>
      </x:c>
      <x:c r="L95" s="47" t="str">
        <x:v>caries</x:v>
      </x:c>
      <x:c r="M95" s="47" t="str">
        <x:v>Not specified</x:v>
      </x:c>
      <x:c r="N95" s="62" t="str">
        <x:v>#7A5AF8</x:v>
      </x:c>
      <x:c r="O95" s="55" t="str">
        <x:v>Medium</x:v>
      </x:c>
      <x:c r="P95" s="50" t="str">
        <x:v>High</x:v>
      </x:c>
      <x:c r="Q95" s="47" t="str">
        <x:v>Tooth diagnosis group</x:v>
      </x:c>
      <x:c r="R95" s="47" t="str">
        <x:v>Phrase-based clinical draft; language review recommended</x:v>
      </x:c>
      <x:c r="S95" s="56" t="str">
        <x:v>No</x:v>
      </x:c>
      <x:c r="T95" s="46" t="str"/>
      <x:c r="U95" s="47" t="str"/>
      <x:c r="V95" s="46" t="str">
        <x:v>d34b0902680662b</x:v>
      </x:c>
    </x:row>
    <x:row r="96">
      <x:c r="A96" s="46" t="str">
        <x:v>3</x:v>
      </x:c>
      <x:c r="B96" s="46" t="str">
        <x:v>86148</x:v>
      </x:c>
      <x:c r="C96" s="46" t="str">
        <x:v>Διάγνωση</x:v>
      </x:c>
      <x:c r="D96" s="47" t="str">
        <x:v>Υπόλοιπο ρίζας</x:v>
      </x:c>
      <x:c r="E96" s="47" t="str">
        <x:v>Retained root</x:v>
      </x:c>
      <x:c r="F96" s="47" t="str">
        <x:v>Wurzelrest</x:v>
      </x:c>
      <x:c r="G96" s="48" t="n">
        <x:v>0</x:v>
      </x:c>
      <x:c r="H96" s="46" t="str">
        <x:v>No</x:v>
      </x:c>
      <x:c r="I96" s="47" t="str">
        <x:v>Whole tooth</x:v>
      </x:c>
      <x:c r="J96" s="47" t="str">
        <x:v>Single tooth (if clinically specific)</x:v>
      </x:c>
      <x:c r="K96" s="47" t="str">
        <x:v>none</x:v>
      </x:c>
      <x:c r="L96" s="47" t="str">
        <x:v>diagnosis-marker</x:v>
      </x:c>
      <x:c r="M96" s="47" t="str">
        <x:v>Not specified</x:v>
      </x:c>
      <x:c r="N96" s="62" t="str">
        <x:v>#7A5AF8</x:v>
      </x:c>
      <x:c r="O96" s="55" t="str">
        <x:v>Medium</x:v>
      </x:c>
      <x:c r="P96" s="55" t="str">
        <x:v>Medium</x:v>
      </x:c>
      <x:c r="Q96" s="47" t="str">
        <x:v>Tooth diagnosis group; source toothRequired=false conflicts with suggested target</x:v>
      </x:c>
      <x:c r="R96" s="47" t="str">
        <x:v>Phrase-based clinical draft; language review recommended</x:v>
      </x:c>
      <x:c r="S96" s="52" t="str">
        <x:v>Yes</x:v>
      </x:c>
      <x:c r="T96" s="46" t="str"/>
      <x:c r="U96" s="47" t="str"/>
      <x:c r="V96" s="46" t="str">
        <x:v>dd312d42f18113a</x:v>
      </x:c>
    </x:row>
    <x:row r="97">
      <x:c r="A97" s="46" t="str">
        <x:v>3</x:v>
      </x:c>
      <x:c r="B97" s="46" t="str">
        <x:v>86147</x:v>
      </x:c>
      <x:c r="C97" s="46" t="str">
        <x:v>Διάγνωση</x:v>
      </x:c>
      <x:c r="D97" s="47" t="str">
        <x:v>Υφίζηση</x:v>
      </x:c>
      <x:c r="E97" s="47" t="str">
        <x:v>Gingival recession</x:v>
      </x:c>
      <x:c r="F97" s="47" t="str">
        <x:v>Gingivarezession</x:v>
      </x:c>
      <x:c r="G97" s="48" t="n">
        <x:v>0</x:v>
      </x:c>
      <x:c r="H97" s="46" t="str">
        <x:v>No</x:v>
      </x:c>
      <x:c r="I97" s="47" t="str">
        <x:v>Whole tooth</x:v>
      </x:c>
      <x:c r="J97" s="47" t="str">
        <x:v>Single tooth (if clinically specific)</x:v>
      </x:c>
      <x:c r="K97" s="47" t="str">
        <x:v>none</x:v>
      </x:c>
      <x:c r="L97" s="47" t="str">
        <x:v>diagnosis-marker</x:v>
      </x:c>
      <x:c r="M97" s="47" t="str">
        <x:v>Not specified</x:v>
      </x:c>
      <x:c r="N97" s="62" t="str">
        <x:v>#7A5AF8</x:v>
      </x:c>
      <x:c r="O97" s="55" t="str">
        <x:v>Medium</x:v>
      </x:c>
      <x:c r="P97" s="55" t="str">
        <x:v>Medium</x:v>
      </x:c>
      <x:c r="Q97" s="47" t="str">
        <x:v>Tooth diagnosis group; source toothRequired=false conflicts with suggested target</x:v>
      </x:c>
      <x:c r="R97" s="47" t="str">
        <x:v>Phrase-based clinical draft; language review recommended</x:v>
      </x:c>
      <x:c r="S97" s="52" t="str">
        <x:v>Yes</x:v>
      </x:c>
      <x:c r="T97" s="46" t="str"/>
      <x:c r="U97" s="47" t="str"/>
      <x:c r="V97" s="46" t="str">
        <x:v>d31f0727ce33dbc</x:v>
      </x:c>
    </x:row>
    <x:row r="98">
      <x:c r="A98" s="46" t="str">
        <x:v>4</x:v>
      </x:c>
      <x:c r="B98" s="46" t="str">
        <x:v>4960</x:v>
      </x:c>
      <x:c r="C98" s="46" t="str">
        <x:v>Εξακτική/Χειρουργική</x:v>
      </x:c>
      <x:c r="D98" s="47" t="str">
        <x:v>Ακρορριζεκτομή</x:v>
      </x:c>
      <x:c r="E98" s="47" t="str">
        <x:v>Apicoectomy</x:v>
      </x:c>
      <x:c r="F98" s="47" t="str">
        <x:v>Wurzelspitzenresektion</x:v>
      </x:c>
      <x:c r="G98" s="48" t="n">
        <x:v>150</x:v>
      </x:c>
      <x:c r="H98" s="46" t="str">
        <x:v>No</x:v>
      </x:c>
      <x:c r="I98" s="47" t="str">
        <x:v>Whole tooth</x:v>
      </x:c>
      <x:c r="J98" s="47" t="str">
        <x:v>Single tooth</x:v>
      </x:c>
      <x:c r="K98" s="47" t="str">
        <x:v>rootCanal</x:v>
      </x:c>
      <x:c r="L98" s="47" t="str">
        <x:v>root-canal</x:v>
      </x:c>
      <x:c r="M98" s="47" t="str">
        <x:v>Not specified</x:v>
      </x:c>
      <x:c r="N98" s="64" t="str">
        <x:v>#E05D5D</x:v>
      </x:c>
      <x:c r="O98" s="55" t="str">
        <x:v>Medium</x:v>
      </x:c>
      <x:c r="P98" s="55" t="str">
        <x:v>Medium</x:v>
      </x:c>
      <x:c r="Q98" s="47" t="str">
        <x:v>Endodontic group/keyword; source toothRequired=false conflicts with suggested target</x:v>
      </x:c>
      <x:c r="R98" s="47" t="str">
        <x:v>Phrase-based clinical draft; language review recommended</x:v>
      </x:c>
      <x:c r="S98" s="52" t="str">
        <x:v>Yes</x:v>
      </x:c>
      <x:c r="T98" s="46" t="str"/>
      <x:c r="U98" s="47" t="str"/>
      <x:c r="V98" s="46" t="str">
        <x:v>d1a2ebb8f10a50a</x:v>
      </x:c>
    </x:row>
    <x:row r="99">
      <x:c r="A99" s="46" t="str">
        <x:v>4</x:v>
      </x:c>
      <x:c r="B99" s="46" t="str">
        <x:v>4982</x:v>
      </x:c>
      <x:c r="C99" s="46" t="str">
        <x:v>Εξακτική/Χειρουργική</x:v>
      </x:c>
      <x:c r="D99" s="47" t="str">
        <x:v>Αφαίρεση καλύπτρας</x:v>
      </x:c>
      <x:c r="E99" s="47" t="str">
        <x:v>Removal of operculum</x:v>
      </x:c>
      <x:c r="F99" s="47" t="str">
        <x:v>Entfernung der Schleimhautkappe</x:v>
      </x:c>
      <x:c r="G99" s="48" t="n">
        <x:v>0</x:v>
      </x:c>
      <x:c r="H99" s="46" t="str">
        <x:v>Unknown</x:v>
      </x:c>
      <x:c r="I99" s="47" t="str">
        <x:v>Whole tooth</x:v>
      </x:c>
      <x:c r="J99" s="47" t="str">
        <x:v>Single tooth</x:v>
      </x:c>
      <x:c r="K99" s="47" t="str">
        <x:v>none</x:v>
      </x:c>
      <x:c r="L99" s="47" t="str">
        <x:v>oral-surgery</x:v>
      </x:c>
      <x:c r="M99" s="47" t="str">
        <x:v>Not specified</x:v>
      </x:c>
      <x:c r="N99" s="64" t="str">
        <x:v>#E05D5D</x:v>
      </x:c>
      <x:c r="O99" s="55" t="str">
        <x:v>Medium</x:v>
      </x:c>
      <x:c r="P99" s="55" t="str">
        <x:v>Medium</x:v>
      </x:c>
      <x:c r="Q99" s="47" t="str">
        <x:v>Oral-surgery group with legacy tooth flag</x:v>
      </x:c>
      <x:c r="R99" s="47" t="str">
        <x:v>Phrase-based clinical draft; language review recommended</x:v>
      </x:c>
      <x:c r="S99" s="52" t="str">
        <x:v>Yes</x:v>
      </x:c>
      <x:c r="T99" s="46" t="str"/>
      <x:c r="U99" s="47" t="str"/>
      <x:c r="V99" s="46" t="str">
        <x:v>dab2236b036c5ad</x:v>
      </x:c>
    </x:row>
    <x:row r="100">
      <x:c r="A100" s="46" t="str">
        <x:v>4</x:v>
      </x:c>
      <x:c r="B100" s="46" t="str">
        <x:v>4913</x:v>
      </x:c>
      <x:c r="C100" s="46" t="str">
        <x:v>Εξακτική/Χειρουργική</x:v>
      </x:c>
      <x:c r="D100" s="47" t="str">
        <x:v>Αφαίρεση καλύπτρας - Περιστεφανίτιδα</x:v>
      </x:c>
      <x:c r="E100" s="47" t="str">
        <x:v>Removal of operculum - Pericoronitis</x:v>
      </x:c>
      <x:c r="F100" s="47" t="str">
        <x:v>Entfernung der Schleimhautkappe - Perikoronitis</x:v>
      </x:c>
      <x:c r="G100" s="48" t="n">
        <x:v>15</x:v>
      </x:c>
      <x:c r="H100" s="46" t="str">
        <x:v>Unknown</x:v>
      </x:c>
      <x:c r="I100" s="47" t="str">
        <x:v>Whole tooth</x:v>
      </x:c>
      <x:c r="J100" s="47" t="str">
        <x:v>Single tooth</x:v>
      </x:c>
      <x:c r="K100" s="47" t="str">
        <x:v>crown</x:v>
      </x:c>
      <x:c r="L100" s="47" t="str">
        <x:v>crown</x:v>
      </x:c>
      <x:c r="M100" s="47" t="str">
        <x:v>Not specified</x:v>
      </x:c>
      <x:c r="N100" s="64" t="str">
        <x:v>#E05D5D</x:v>
      </x:c>
      <x:c r="O100" s="55" t="str">
        <x:v>Medium</x:v>
      </x:c>
      <x:c r="P100" s="50" t="str">
        <x:v>High</x:v>
      </x:c>
      <x:c r="Q100" s="47" t="str">
        <x:v>Crown/veneer keyword</x:v>
      </x:c>
      <x:c r="R100" s="47" t="str">
        <x:v>Phrase-based clinical draft; language review recommended</x:v>
      </x:c>
      <x:c r="S100" s="56" t="str">
        <x:v>No</x:v>
      </x:c>
      <x:c r="T100" s="46" t="str"/>
      <x:c r="U100" s="47" t="str"/>
      <x:c r="V100" s="46" t="str">
        <x:v>d0bd80a0800a74f</x:v>
      </x:c>
    </x:row>
    <x:row r="101">
      <x:c r="A101" s="46" t="str">
        <x:v>4</x:v>
      </x:c>
      <x:c r="B101" s="46" t="str">
        <x:v>4983</x:v>
      </x:c>
      <x:c r="C101" s="46" t="str">
        <x:v>Εξακτική/Χειρουργική</x:v>
      </x:c>
      <x:c r="D101" s="47" t="str">
        <x:v>Βιοψία</x:v>
      </x:c>
      <x:c r="E101" s="47" t="str">
        <x:v>Biopsy</x:v>
      </x:c>
      <x:c r="F101" s="47" t="str">
        <x:v>Biopsie</x:v>
      </x:c>
      <x:c r="G101" s="48" t="n">
        <x:v>0</x:v>
      </x:c>
      <x:c r="H101" s="46" t="str">
        <x:v>Unknown</x:v>
      </x:c>
      <x:c r="I101" s="47" t="str">
        <x:v>Whole tooth</x:v>
      </x:c>
      <x:c r="J101" s="47" t="str">
        <x:v>Single tooth</x:v>
      </x:c>
      <x:c r="K101" s="47" t="str">
        <x:v>none</x:v>
      </x:c>
      <x:c r="L101" s="47" t="str">
        <x:v>oral-surgery</x:v>
      </x:c>
      <x:c r="M101" s="47" t="str">
        <x:v>Not specified</x:v>
      </x:c>
      <x:c r="N101" s="64" t="str">
        <x:v>#E05D5D</x:v>
      </x:c>
      <x:c r="O101" s="55" t="str">
        <x:v>Medium</x:v>
      </x:c>
      <x:c r="P101" s="55" t="str">
        <x:v>Medium</x:v>
      </x:c>
      <x:c r="Q101" s="47" t="str">
        <x:v>Oral-surgery group with legacy tooth flag</x:v>
      </x:c>
      <x:c r="R101" s="47" t="str">
        <x:v>Phrase-based clinical draft; language review recommended</x:v>
      </x:c>
      <x:c r="S101" s="52" t="str">
        <x:v>Yes</x:v>
      </x:c>
      <x:c r="T101" s="46" t="str"/>
      <x:c r="U101" s="47" t="str"/>
      <x:c r="V101" s="46" t="str">
        <x:v>dbb91a4221c309a</x:v>
      </x:c>
    </x:row>
    <x:row r="102">
      <x:c r="A102" s="46" t="str">
        <x:v>4</x:v>
      </x:c>
      <x:c r="B102" s="46" t="str">
        <x:v>86053</x:v>
      </x:c>
      <x:c r="C102" s="46" t="str">
        <x:v>Εξακτική/Χειρουργική</x:v>
      </x:c>
      <x:c r="D102" s="47" t="str">
        <x:v>Διάτρηση ιγμορείου</x:v>
      </x:c>
      <x:c r="E102" s="47" t="str">
        <x:v>Sinus perforation</x:v>
      </x:c>
      <x:c r="F102" s="47" t="str">
        <x:v>Kieferhöhlenperforation</x:v>
      </x:c>
      <x:c r="G102" s="48" t="n">
        <x:v>0</x:v>
      </x:c>
      <x:c r="H102" s="46" t="str">
        <x:v>Unknown</x:v>
      </x:c>
      <x:c r="I102" s="47" t="str">
        <x:v>Whole tooth</x:v>
      </x:c>
      <x:c r="J102" s="47" t="str">
        <x:v>Single tooth</x:v>
      </x:c>
      <x:c r="K102" s="47" t="str">
        <x:v>none</x:v>
      </x:c>
      <x:c r="L102" s="47" t="str">
        <x:v>oral-surgery</x:v>
      </x:c>
      <x:c r="M102" s="47" t="str">
        <x:v>Not specified</x:v>
      </x:c>
      <x:c r="N102" s="64" t="str">
        <x:v>#E05D5D</x:v>
      </x:c>
      <x:c r="O102" s="55" t="str">
        <x:v>Medium</x:v>
      </x:c>
      <x:c r="P102" s="55" t="str">
        <x:v>Medium</x:v>
      </x:c>
      <x:c r="Q102" s="47" t="str">
        <x:v>Oral-surgery group with legacy tooth flag</x:v>
      </x:c>
      <x:c r="R102" s="47" t="str">
        <x:v>Phrase-based clinical draft; language review recommended</x:v>
      </x:c>
      <x:c r="S102" s="52" t="str">
        <x:v>Yes</x:v>
      </x:c>
      <x:c r="T102" s="46" t="str"/>
      <x:c r="U102" s="47" t="str"/>
      <x:c r="V102" s="46" t="str">
        <x:v>db87e87f7b61ac9</x:v>
      </x:c>
    </x:row>
    <x:row r="103">
      <x:c r="A103" s="46" t="str">
        <x:v>4</x:v>
      </x:c>
      <x:c r="B103" s="46" t="str">
        <x:v>4988</x:v>
      </x:c>
      <x:c r="C103" s="46" t="str">
        <x:v>Εξακτική/Χειρουργική</x:v>
      </x:c>
      <x:c r="D103" s="47" t="str">
        <x:v>Εκπυρήνιση κύστης</x:v>
      </x:c>
      <x:c r="E103" s="47" t="str">
        <x:v>Cyst enucleation</x:v>
      </x:c>
      <x:c r="F103" s="47" t="str">
        <x:v>Zystektomie</x:v>
      </x:c>
      <x:c r="G103" s="48" t="n">
        <x:v>0</x:v>
      </x:c>
      <x:c r="H103" s="46" t="str">
        <x:v>Unknown</x:v>
      </x:c>
      <x:c r="I103" s="47" t="str">
        <x:v>Whole tooth</x:v>
      </x:c>
      <x:c r="J103" s="47" t="str">
        <x:v>Single tooth</x:v>
      </x:c>
      <x:c r="K103" s="47" t="str">
        <x:v>none</x:v>
      </x:c>
      <x:c r="L103" s="47" t="str">
        <x:v>oral-surgery</x:v>
      </x:c>
      <x:c r="M103" s="47" t="str">
        <x:v>Not specified</x:v>
      </x:c>
      <x:c r="N103" s="64" t="str">
        <x:v>#E05D5D</x:v>
      </x:c>
      <x:c r="O103" s="55" t="str">
        <x:v>Medium</x:v>
      </x:c>
      <x:c r="P103" s="55" t="str">
        <x:v>Medium</x:v>
      </x:c>
      <x:c r="Q103" s="47" t="str">
        <x:v>Oral-surgery group with legacy tooth flag</x:v>
      </x:c>
      <x:c r="R103" s="47" t="str">
        <x:v>Phrase-based clinical draft; language review recommended</x:v>
      </x:c>
      <x:c r="S103" s="52" t="str">
        <x:v>Yes</x:v>
      </x:c>
      <x:c r="T103" s="46" t="str"/>
      <x:c r="U103" s="47" t="str"/>
      <x:c r="V103" s="46" t="str">
        <x:v>d784605c92d1d5c</x:v>
      </x:c>
    </x:row>
    <x:row r="104">
      <x:c r="A104" s="46" t="str">
        <x:v>4</x:v>
      </x:c>
      <x:c r="B104" s="46" t="str">
        <x:v>86092</x:v>
      </x:c>
      <x:c r="C104" s="46" t="str">
        <x:v>Εξακτική/Χειρουργική</x:v>
      </x:c>
      <x:c r="D104" s="47" t="str">
        <x:v>Έλεγχος τραύματος</x:v>
      </x:c>
      <x:c r="E104" s="47" t="str">
        <x:v>Trauma review</x:v>
      </x:c>
      <x:c r="F104" s="47" t="str">
        <x:v>Traumakontrolle</x:v>
      </x:c>
      <x:c r="G104" s="48" t="n">
        <x:v>0</x:v>
      </x:c>
      <x:c r="H104" s="46" t="str">
        <x:v>Yes</x:v>
      </x:c>
      <x:c r="I104" s="47" t="str">
        <x:v>Whole tooth</x:v>
      </x:c>
      <x:c r="J104" s="47" t="str">
        <x:v>Single tooth</x:v>
      </x:c>
      <x:c r="K104" s="47" t="str">
        <x:v>none</x:v>
      </x:c>
      <x:c r="L104" s="47" t="str">
        <x:v>oral-surgery</x:v>
      </x:c>
      <x:c r="M104" s="47" t="str">
        <x:v>Not specified</x:v>
      </x:c>
      <x:c r="N104" s="64" t="str">
        <x:v>#E05D5D</x:v>
      </x:c>
      <x:c r="O104" s="55" t="str">
        <x:v>Medium</x:v>
      </x:c>
      <x:c r="P104" s="50" t="str">
        <x:v>High</x:v>
      </x:c>
      <x:c r="Q104" s="47" t="str">
        <x:v>Oral-surgery group with legacy tooth flag</x:v>
      </x:c>
      <x:c r="R104" s="47" t="str">
        <x:v>Phrase-based clinical draft; language review recommended</x:v>
      </x:c>
      <x:c r="S104" s="56" t="str">
        <x:v>No</x:v>
      </x:c>
      <x:c r="T104" s="46" t="str"/>
      <x:c r="U104" s="47" t="str"/>
      <x:c r="V104" s="46" t="str">
        <x:v>d28e16da8ed469e</x:v>
      </x:c>
    </x:row>
    <x:row r="105">
      <x:c r="A105" s="46" t="str">
        <x:v>4</x:v>
      </x:c>
      <x:c r="B105" s="46" t="str">
        <x:v>5001</x:v>
      </x:c>
      <x:c r="C105" s="46" t="str">
        <x:v>Εξακτική/Χειρουργική</x:v>
      </x:c>
      <x:c r="D105" s="47" t="str">
        <x:v>Εξαγωγή</x:v>
      </x:c>
      <x:c r="E105" s="47" t="str">
        <x:v>Extraction</x:v>
      </x:c>
      <x:c r="F105" s="47" t="str">
        <x:v>Extraktion</x:v>
      </x:c>
      <x:c r="G105" s="48" t="n">
        <x:v>50</x:v>
      </x:c>
      <x:c r="H105" s="46" t="str">
        <x:v>No</x:v>
      </x:c>
      <x:c r="I105" s="47" t="str">
        <x:v>Whole tooth</x:v>
      </x:c>
      <x:c r="J105" s="47" t="str">
        <x:v>Single tooth</x:v>
      </x:c>
      <x:c r="K105" s="47" t="str">
        <x:v>extraction</x:v>
      </x:c>
      <x:c r="L105" s="47" t="str">
        <x:v>extraction</x:v>
      </x:c>
      <x:c r="M105" s="47" t="str">
        <x:v>Not specified</x:v>
      </x:c>
      <x:c r="N105" s="64" t="str">
        <x:v>#E05D5D</x:v>
      </x:c>
      <x:c r="O105" s="55" t="str">
        <x:v>Medium</x:v>
      </x:c>
      <x:c r="P105" s="55" t="str">
        <x:v>Medium</x:v>
      </x:c>
      <x:c r="Q105" s="47" t="str">
        <x:v>Extraction keyword; source toothRequired=false conflicts with suggested target</x:v>
      </x:c>
      <x:c r="R105" s="47" t="str">
        <x:v>Phrase-based clinical draft; language review recommended</x:v>
      </x:c>
      <x:c r="S105" s="52" t="str">
        <x:v>Yes</x:v>
      </x:c>
      <x:c r="T105" s="46" t="str"/>
      <x:c r="U105" s="47" t="str"/>
      <x:c r="V105" s="46" t="str">
        <x:v>d61b089a132b98f</x:v>
      </x:c>
    </x:row>
    <x:row r="106">
      <x:c r="A106" s="46" t="str">
        <x:v>4</x:v>
      </x:c>
      <x:c r="B106" s="46" t="str">
        <x:v>5002</x:v>
      </x:c>
      <x:c r="C106" s="46" t="str">
        <x:v>Εξακτική/Χειρουργική</x:v>
      </x:c>
      <x:c r="D106" s="47" t="str">
        <x:v>Εξαγωγή νεογιλού</x:v>
      </x:c>
      <x:c r="E106" s="47" t="str">
        <x:v>Extraction of primary tooth</x:v>
      </x:c>
      <x:c r="F106" s="47" t="str">
        <x:v>Extraktion eines Milchzahns</x:v>
      </x:c>
      <x:c r="G106" s="48" t="n">
        <x:v>30</x:v>
      </x:c>
      <x:c r="H106" s="46" t="str">
        <x:v>Unknown</x:v>
      </x:c>
      <x:c r="I106" s="47" t="str">
        <x:v>Whole tooth</x:v>
      </x:c>
      <x:c r="J106" s="47" t="str">
        <x:v>Single tooth</x:v>
      </x:c>
      <x:c r="K106" s="47" t="str">
        <x:v>extraction</x:v>
      </x:c>
      <x:c r="L106" s="47" t="str">
        <x:v>extraction</x:v>
      </x:c>
      <x:c r="M106" s="47" t="str">
        <x:v>Not specified</x:v>
      </x:c>
      <x:c r="N106" s="64" t="str">
        <x:v>#E05D5D</x:v>
      </x:c>
      <x:c r="O106" s="55" t="str">
        <x:v>Medium</x:v>
      </x:c>
      <x:c r="P106" s="50" t="str">
        <x:v>High</x:v>
      </x:c>
      <x:c r="Q106" s="47" t="str">
        <x:v>Extraction keyword</x:v>
      </x:c>
      <x:c r="R106" s="47" t="str">
        <x:v>Phrase-based clinical draft; language review recommended</x:v>
      </x:c>
      <x:c r="S106" s="56" t="str">
        <x:v>No</x:v>
      </x:c>
      <x:c r="T106" s="46" t="str"/>
      <x:c r="U106" s="47" t="str"/>
      <x:c r="V106" s="46" t="str">
        <x:v>de06e5164ce9e01</x:v>
      </x:c>
    </x:row>
    <x:row r="107">
      <x:c r="A107" s="46" t="str">
        <x:v>4</x:v>
      </x:c>
      <x:c r="B107" s="46" t="str">
        <x:v>5003</x:v>
      </x:c>
      <x:c r="C107" s="46" t="str">
        <x:v>Εξακτική/Χειρουργική</x:v>
      </x:c>
      <x:c r="D107" s="47" t="str">
        <x:v>Εξαγωγή ρίζας</x:v>
      </x:c>
      <x:c r="E107" s="47" t="str">
        <x:v>Root extraction</x:v>
      </x:c>
      <x:c r="F107" s="47" t="str">
        <x:v>Wurzelentfernung</x:v>
      </x:c>
      <x:c r="G107" s="48" t="n">
        <x:v>50</x:v>
      </x:c>
      <x:c r="H107" s="46" t="str">
        <x:v>Unknown</x:v>
      </x:c>
      <x:c r="I107" s="47" t="str">
        <x:v>Whole tooth</x:v>
      </x:c>
      <x:c r="J107" s="47" t="str">
        <x:v>Single tooth</x:v>
      </x:c>
      <x:c r="K107" s="47" t="str">
        <x:v>extraction</x:v>
      </x:c>
      <x:c r="L107" s="47" t="str">
        <x:v>extraction</x:v>
      </x:c>
      <x:c r="M107" s="47" t="str">
        <x:v>Not specified</x:v>
      </x:c>
      <x:c r="N107" s="64" t="str">
        <x:v>#E05D5D</x:v>
      </x:c>
      <x:c r="O107" s="55" t="str">
        <x:v>Medium</x:v>
      </x:c>
      <x:c r="P107" s="50" t="str">
        <x:v>High</x:v>
      </x:c>
      <x:c r="Q107" s="47" t="str">
        <x:v>Extraction keyword</x:v>
      </x:c>
      <x:c r="R107" s="47" t="str">
        <x:v>Phrase-based clinical draft; language review recommended</x:v>
      </x:c>
      <x:c r="S107" s="56" t="str">
        <x:v>No</x:v>
      </x:c>
      <x:c r="T107" s="46" t="str"/>
      <x:c r="U107" s="47" t="str"/>
      <x:c r="V107" s="46" t="str">
        <x:v>d273160980ba62a</x:v>
      </x:c>
    </x:row>
    <x:row r="108">
      <x:c r="A108" s="46" t="str">
        <x:v>4</x:v>
      </x:c>
      <x:c r="B108" s="46" t="str">
        <x:v>86067</x:v>
      </x:c>
      <x:c r="C108" s="46" t="str">
        <x:v>Εξακτική/Χειρουργική</x:v>
      </x:c>
      <x:c r="D108" s="47" t="str">
        <x:v>Επανεμφύτευση οδόντος</x:v>
      </x:c>
      <x:c r="E108" s="47" t="str">
        <x:v>Tooth replantation</x:v>
      </x:c>
      <x:c r="F108" s="47" t="str">
        <x:v>Zahnreplantation</x:v>
      </x:c>
      <x:c r="G108" s="48" t="n">
        <x:v>0</x:v>
      </x:c>
      <x:c r="H108" s="46" t="str">
        <x:v>Unknown</x:v>
      </x:c>
      <x:c r="I108" s="47" t="str">
        <x:v>Whole tooth</x:v>
      </x:c>
      <x:c r="J108" s="47" t="str">
        <x:v>Single tooth / implant site</x:v>
      </x:c>
      <x:c r="K108" s="47" t="str">
        <x:v>implant</x:v>
      </x:c>
      <x:c r="L108" s="47" t="str">
        <x:v>implant</x:v>
      </x:c>
      <x:c r="M108" s="47" t="str">
        <x:v>Implant / titanium</x:v>
      </x:c>
      <x:c r="N108" s="64" t="str">
        <x:v>#E05D5D</x:v>
      </x:c>
      <x:c r="O108" s="55" t="str">
        <x:v>Medium</x:v>
      </x:c>
      <x:c r="P108" s="50" t="str">
        <x:v>High</x:v>
      </x:c>
      <x:c r="Q108" s="47" t="str">
        <x:v>Implant keyword</x:v>
      </x:c>
      <x:c r="R108" s="47" t="str">
        <x:v>Phrase-based clinical draft; language review recommended</x:v>
      </x:c>
      <x:c r="S108" s="56" t="str">
        <x:v>No</x:v>
      </x:c>
      <x:c r="T108" s="46" t="str"/>
      <x:c r="U108" s="47" t="str"/>
      <x:c r="V108" s="46" t="str">
        <x:v>dd62c1f775df506</x:v>
      </x:c>
    </x:row>
    <x:row r="109">
      <x:c r="A109" s="46" t="str">
        <x:v>4</x:v>
      </x:c>
      <x:c r="B109" s="46" t="str">
        <x:v>4914</x:v>
      </x:c>
      <x:c r="C109" s="46" t="str">
        <x:v>Εξακτική/Χειρουργική</x:v>
      </x:c>
      <x:c r="D109" s="47" t="str">
        <x:v>Θεραπεία ξηρού φατνίου</x:v>
      </x:c>
      <x:c r="E109" s="47" t="str">
        <x:v>Dry socket treatment</x:v>
      </x:c>
      <x:c r="F109" s="47" t="str">
        <x:v>Behandlung einer Alveolitis sicca</x:v>
      </x:c>
      <x:c r="G109" s="48" t="n">
        <x:v>0</x:v>
      </x:c>
      <x:c r="H109" s="46" t="str">
        <x:v>Unknown</x:v>
      </x:c>
      <x:c r="I109" s="47" t="str">
        <x:v>Whole tooth</x:v>
      </x:c>
      <x:c r="J109" s="47" t="str">
        <x:v>Single tooth</x:v>
      </x:c>
      <x:c r="K109" s="47" t="str">
        <x:v>none</x:v>
      </x:c>
      <x:c r="L109" s="47" t="str">
        <x:v>oral-surgery</x:v>
      </x:c>
      <x:c r="M109" s="47" t="str">
        <x:v>Not specified</x:v>
      </x:c>
      <x:c r="N109" s="64" t="str">
        <x:v>#E05D5D</x:v>
      </x:c>
      <x:c r="O109" s="55" t="str">
        <x:v>Medium</x:v>
      </x:c>
      <x:c r="P109" s="55" t="str">
        <x:v>Medium</x:v>
      </x:c>
      <x:c r="Q109" s="47" t="str">
        <x:v>Oral-surgery group with legacy tooth flag</x:v>
      </x:c>
      <x:c r="R109" s="47" t="str">
        <x:v>Phrase-based clinical draft; language review recommended</x:v>
      </x:c>
      <x:c r="S109" s="52" t="str">
        <x:v>Yes</x:v>
      </x:c>
      <x:c r="T109" s="46" t="str"/>
      <x:c r="U109" s="47" t="str"/>
      <x:c r="V109" s="46" t="str">
        <x:v>d1bee63fb0fc165</x:v>
      </x:c>
    </x:row>
    <x:row r="110">
      <x:c r="A110" s="46" t="str">
        <x:v>4</x:v>
      </x:c>
      <x:c r="B110" s="46" t="str">
        <x:v>86084</x:v>
      </x:c>
      <x:c r="C110" s="46" t="str">
        <x:v>Εξακτική/Χειρουργική</x:v>
      </x:c>
      <x:c r="D110" s="47" t="str">
        <x:v>Θεραπεία ξηρού φατνίου (Alvogyl)</x:v>
      </x:c>
      <x:c r="E110" s="47" t="str">
        <x:v>Dry socket treatment (Alvogyl)</x:v>
      </x:c>
      <x:c r="F110" s="47" t="str">
        <x:v>Behandlung einer Alveolitis sicca (Alvogyl)</x:v>
      </x:c>
      <x:c r="G110" s="48" t="n">
        <x:v>20</x:v>
      </x:c>
      <x:c r="H110" s="46" t="str">
        <x:v>Yes</x:v>
      </x:c>
      <x:c r="I110" s="47" t="str">
        <x:v>Whole tooth</x:v>
      </x:c>
      <x:c r="J110" s="47" t="str">
        <x:v>Single tooth</x:v>
      </x:c>
      <x:c r="K110" s="47" t="str">
        <x:v>none</x:v>
      </x:c>
      <x:c r="L110" s="47" t="str">
        <x:v>oral-surgery</x:v>
      </x:c>
      <x:c r="M110" s="47" t="str">
        <x:v>Not specified</x:v>
      </x:c>
      <x:c r="N110" s="64" t="str">
        <x:v>#E05D5D</x:v>
      </x:c>
      <x:c r="O110" s="55" t="str">
        <x:v>Medium</x:v>
      </x:c>
      <x:c r="P110" s="50" t="str">
        <x:v>High</x:v>
      </x:c>
      <x:c r="Q110" s="47" t="str">
        <x:v>Oral-surgery group with legacy tooth flag</x:v>
      </x:c>
      <x:c r="R110" s="47" t="str">
        <x:v>Phrase-based clinical draft; language review recommended</x:v>
      </x:c>
      <x:c r="S110" s="56" t="str">
        <x:v>No</x:v>
      </x:c>
      <x:c r="T110" s="46" t="str"/>
      <x:c r="U110" s="47" t="str"/>
      <x:c r="V110" s="46" t="str">
        <x:v>dc23a5ea1e7d85c</x:v>
      </x:c>
    </x:row>
    <x:row r="111">
      <x:c r="A111" s="46" t="str">
        <x:v>4</x:v>
      </x:c>
      <x:c r="B111" s="46" t="str">
        <x:v>86091</x:v>
      </x:c>
      <x:c r="C111" s="46" t="str">
        <x:v>Εξακτική/Χειρουργική</x:v>
      </x:c>
      <x:c r="D111" s="47" t="str">
        <x:v>Ουλεκτομή</x:v>
      </x:c>
      <x:c r="E111" s="47" t="str">
        <x:v>Gingivectomy</x:v>
      </x:c>
      <x:c r="F111" s="47" t="str">
        <x:v>Gingivektomie</x:v>
      </x:c>
      <x:c r="G111" s="48" t="n">
        <x:v>30</x:v>
      </x:c>
      <x:c r="H111" s="46" t="str">
        <x:v>Yes</x:v>
      </x:c>
      <x:c r="I111" s="47" t="str">
        <x:v>Whole tooth</x:v>
      </x:c>
      <x:c r="J111" s="47" t="str">
        <x:v>Single tooth</x:v>
      </x:c>
      <x:c r="K111" s="47" t="str">
        <x:v>none</x:v>
      </x:c>
      <x:c r="L111" s="47" t="str">
        <x:v>oral-surgery</x:v>
      </x:c>
      <x:c r="M111" s="47" t="str">
        <x:v>Not specified</x:v>
      </x:c>
      <x:c r="N111" s="64" t="str">
        <x:v>#E05D5D</x:v>
      </x:c>
      <x:c r="O111" s="50" t="str">
        <x:v>High</x:v>
      </x:c>
      <x:c r="P111" s="50" t="str">
        <x:v>High</x:v>
      </x:c>
      <x:c r="Q111" s="47" t="str">
        <x:v>Oral-surgery group with legacy tooth flag</x:v>
      </x:c>
      <x:c r="R111" s="47" t="str">
        <x:v>Exact catalogue translation</x:v>
      </x:c>
      <x:c r="S111" s="56" t="str">
        <x:v>No</x:v>
      </x:c>
      <x:c r="T111" s="46" t="str"/>
      <x:c r="U111" s="47" t="str"/>
      <x:c r="V111" s="46" t="str">
        <x:v>d114f7abae09516</x:v>
      </x:c>
    </x:row>
    <x:row r="112">
      <x:c r="A112" s="46" t="str">
        <x:v>4</x:v>
      </x:c>
      <x:c r="B112" s="46" t="str">
        <x:v>86186</x:v>
      </x:c>
      <x:c r="C112" s="46" t="str">
        <x:v>Εξακτική/Χειρουργική</x:v>
      </x:c>
      <x:c r="D112" s="47" t="str">
        <x:v>Ουλεκτομή / επιμήκυνση μύλης</x:v>
      </x:c>
      <x:c r="E112" s="47" t="str">
        <x:v>Gingivectomy / crown lengthening</x:v>
      </x:c>
      <x:c r="F112" s="47" t="str">
        <x:v>Gingivektomie / Kronenverlängerung</x:v>
      </x:c>
      <x:c r="G112" s="48" t="n">
        <x:v>0</x:v>
      </x:c>
      <x:c r="H112" s="46" t="str">
        <x:v>Unknown</x:v>
      </x:c>
      <x:c r="I112" s="47" t="str">
        <x:v>Whole tooth</x:v>
      </x:c>
      <x:c r="J112" s="47" t="str">
        <x:v>Single tooth</x:v>
      </x:c>
      <x:c r="K112" s="47" t="str">
        <x:v>none</x:v>
      </x:c>
      <x:c r="L112" s="47" t="str">
        <x:v>oral-surgery</x:v>
      </x:c>
      <x:c r="M112" s="47" t="str">
        <x:v>Not specified</x:v>
      </x:c>
      <x:c r="N112" s="64" t="str">
        <x:v>#E05D5D</x:v>
      </x:c>
      <x:c r="O112" s="55" t="str">
        <x:v>Medium</x:v>
      </x:c>
      <x:c r="P112" s="55" t="str">
        <x:v>Medium</x:v>
      </x:c>
      <x:c r="Q112" s="47" t="str">
        <x:v>Oral-surgery group with legacy tooth flag</x:v>
      </x:c>
      <x:c r="R112" s="47" t="str">
        <x:v>Phrase-based clinical draft; language review recommended</x:v>
      </x:c>
      <x:c r="S112" s="52" t="str">
        <x:v>Yes</x:v>
      </x:c>
      <x:c r="T112" s="46" t="str"/>
      <x:c r="U112" s="47" t="str"/>
      <x:c r="V112" s="46" t="str">
        <x:v>d9ef7620b580a2a</x:v>
      </x:c>
    </x:row>
    <x:row r="113">
      <x:c r="A113" s="46" t="str">
        <x:v>4</x:v>
      </x:c>
      <x:c r="B113" s="46" t="str">
        <x:v>86152</x:v>
      </x:c>
      <x:c r="C113" s="46" t="str">
        <x:v>Εξακτική/Χειρουργική</x:v>
      </x:c>
      <x:c r="D113" s="47" t="str">
        <x:v>Προγομφοποίηση / εκτομή ρίζας</x:v>
      </x:c>
      <x:c r="E113" s="47" t="str">
        <x:v>Bicuspidization / root resection</x:v>
      </x:c>
      <x:c r="F113" s="47" t="str">
        <x:v>Prämolarisierung / Wurzelresektion</x:v>
      </x:c>
      <x:c r="G113" s="48" t="n">
        <x:v>60</x:v>
      </x:c>
      <x:c r="H113" s="46" t="str">
        <x:v>Yes</x:v>
      </x:c>
      <x:c r="I113" s="47" t="str">
        <x:v>Whole tooth</x:v>
      </x:c>
      <x:c r="J113" s="47" t="str">
        <x:v>Single tooth</x:v>
      </x:c>
      <x:c r="K113" s="47" t="str">
        <x:v>none</x:v>
      </x:c>
      <x:c r="L113" s="47" t="str">
        <x:v>oral-surgery</x:v>
      </x:c>
      <x:c r="M113" s="47" t="str">
        <x:v>Not specified</x:v>
      </x:c>
      <x:c r="N113" s="64" t="str">
        <x:v>#E05D5D</x:v>
      </x:c>
      <x:c r="O113" s="51" t="str">
        <x:v>Needs review</x:v>
      </x:c>
      <x:c r="P113" s="50" t="str">
        <x:v>High</x:v>
      </x:c>
      <x:c r="Q113" s="47" t="str">
        <x:v>Oral-surgery group with legacy tooth flag</x:v>
      </x:c>
      <x:c r="R113" s="47" t="str">
        <x:v>Legacy surgical wording requires clinical confirmation</x:v>
      </x:c>
      <x:c r="S113" s="52" t="str">
        <x:v>Yes</x:v>
      </x:c>
      <x:c r="T113" s="46" t="str"/>
      <x:c r="U113" s="47" t="str"/>
      <x:c r="V113" s="46" t="str">
        <x:v>dc4d65aa732360e</x:v>
      </x:c>
    </x:row>
    <x:row r="114">
      <x:c r="A114" s="46" t="str">
        <x:v>4</x:v>
      </x:c>
      <x:c r="B114" s="46" t="str">
        <x:v>5033</x:v>
      </x:c>
      <x:c r="C114" s="46" t="str">
        <x:v>Εξακτική/Χειρουργική</x:v>
      </x:c>
      <x:c r="D114" s="47" t="str">
        <x:v>Ράματα</x:v>
      </x:c>
      <x:c r="E114" s="47" t="str">
        <x:v>Sutures</x:v>
      </x:c>
      <x:c r="F114" s="47" t="str">
        <x:v>Nähte</x:v>
      </x:c>
      <x:c r="G114" s="48" t="n">
        <x:v>0</x:v>
      </x:c>
      <x:c r="H114" s="46" t="str">
        <x:v>Unknown</x:v>
      </x:c>
      <x:c r="I114" s="47" t="str">
        <x:v>Whole tooth</x:v>
      </x:c>
      <x:c r="J114" s="47" t="str">
        <x:v>Single tooth</x:v>
      </x:c>
      <x:c r="K114" s="47" t="str">
        <x:v>none</x:v>
      </x:c>
      <x:c r="L114" s="47" t="str">
        <x:v>oral-surgery</x:v>
      </x:c>
      <x:c r="M114" s="47" t="str">
        <x:v>Not specified</x:v>
      </x:c>
      <x:c r="N114" s="64" t="str">
        <x:v>#E05D5D</x:v>
      </x:c>
      <x:c r="O114" s="55" t="str">
        <x:v>Medium</x:v>
      </x:c>
      <x:c r="P114" s="55" t="str">
        <x:v>Medium</x:v>
      </x:c>
      <x:c r="Q114" s="47" t="str">
        <x:v>Oral-surgery group with legacy tooth flag</x:v>
      </x:c>
      <x:c r="R114" s="47" t="str">
        <x:v>Phrase-based clinical draft; language review recommended</x:v>
      </x:c>
      <x:c r="S114" s="52" t="str">
        <x:v>Yes</x:v>
      </x:c>
      <x:c r="T114" s="46" t="str"/>
      <x:c r="U114" s="47" t="str"/>
      <x:c r="V114" s="46" t="str">
        <x:v>d417e253ae2da21</x:v>
      </x:c>
    </x:row>
    <x:row r="115">
      <x:c r="A115" s="46" t="str">
        <x:v>4</x:v>
      </x:c>
      <x:c r="B115" s="46" t="str">
        <x:v>86052</x:v>
      </x:c>
      <x:c r="C115" s="46" t="str">
        <x:v>Εξακτική/Χειρουργική</x:v>
      </x:c>
      <x:c r="D115" s="47" t="str">
        <x:v>Σχάση αποστήματος</x:v>
      </x:c>
      <x:c r="E115" s="47" t="str">
        <x:v>Abscess incision</x:v>
      </x:c>
      <x:c r="F115" s="47" t="str">
        <x:v>Abszessinzision</x:v>
      </x:c>
      <x:c r="G115" s="48" t="n">
        <x:v>0</x:v>
      </x:c>
      <x:c r="H115" s="46" t="str">
        <x:v>Unknown</x:v>
      </x:c>
      <x:c r="I115" s="47" t="str">
        <x:v>Whole tooth</x:v>
      </x:c>
      <x:c r="J115" s="47" t="str">
        <x:v>Single tooth</x:v>
      </x:c>
      <x:c r="K115" s="47" t="str">
        <x:v>none</x:v>
      </x:c>
      <x:c r="L115" s="47" t="str">
        <x:v>oral-surgery</x:v>
      </x:c>
      <x:c r="M115" s="47" t="str">
        <x:v>Not specified</x:v>
      </x:c>
      <x:c r="N115" s="64" t="str">
        <x:v>#E05D5D</x:v>
      </x:c>
      <x:c r="O115" s="55" t="str">
        <x:v>Medium</x:v>
      </x:c>
      <x:c r="P115" s="55" t="str">
        <x:v>Medium</x:v>
      </x:c>
      <x:c r="Q115" s="47" t="str">
        <x:v>Oral-surgery group with legacy tooth flag</x:v>
      </x:c>
      <x:c r="R115" s="47" t="str">
        <x:v>Phrase-based clinical draft; language review recommended</x:v>
      </x:c>
      <x:c r="S115" s="52" t="str">
        <x:v>Yes</x:v>
      </x:c>
      <x:c r="T115" s="46" t="str"/>
      <x:c r="U115" s="47" t="str"/>
      <x:c r="V115" s="46" t="str">
        <x:v>df269e106d244c9</x:v>
      </x:c>
    </x:row>
    <x:row r="116">
      <x:c r="A116" s="46" t="str">
        <x:v>4</x:v>
      </x:c>
      <x:c r="B116" s="46" t="str">
        <x:v>86156</x:v>
      </x:c>
      <x:c r="C116" s="46" t="str">
        <x:v>Εξακτική/Χειρουργική</x:v>
      </x:c>
      <x:c r="D116" s="47" t="str">
        <x:v>Τοποθέτηση εμφυτεύματος</x:v>
      </x:c>
      <x:c r="E116" s="47" t="str">
        <x:v>Implant placement</x:v>
      </x:c>
      <x:c r="F116" s="47" t="str">
        <x:v>Implantatinsertion</x:v>
      </x:c>
      <x:c r="G116" s="48" t="n">
        <x:v>900</x:v>
      </x:c>
      <x:c r="H116" s="46" t="str">
        <x:v>Yes</x:v>
      </x:c>
      <x:c r="I116" s="47" t="str">
        <x:v>Whole tooth</x:v>
      </x:c>
      <x:c r="J116" s="47" t="str">
        <x:v>Single tooth / implant site</x:v>
      </x:c>
      <x:c r="K116" s="47" t="str">
        <x:v>implant</x:v>
      </x:c>
      <x:c r="L116" s="47" t="str">
        <x:v>implant</x:v>
      </x:c>
      <x:c r="M116" s="47" t="str">
        <x:v>Implant / titanium</x:v>
      </x:c>
      <x:c r="N116" s="64" t="str">
        <x:v>#E05D5D</x:v>
      </x:c>
      <x:c r="O116" s="55" t="str">
        <x:v>Medium</x:v>
      </x:c>
      <x:c r="P116" s="50" t="str">
        <x:v>High</x:v>
      </x:c>
      <x:c r="Q116" s="47" t="str">
        <x:v>Implant keyword</x:v>
      </x:c>
      <x:c r="R116" s="47" t="str">
        <x:v>Phrase-based clinical draft; language review recommended</x:v>
      </x:c>
      <x:c r="S116" s="56" t="str">
        <x:v>No</x:v>
      </x:c>
      <x:c r="T116" s="46" t="str"/>
      <x:c r="U116" s="47" t="str"/>
      <x:c r="V116" s="46" t="str">
        <x:v>df64b3344369485</x:v>
      </x:c>
    </x:row>
    <x:row r="117">
      <x:c r="A117" s="46" t="str">
        <x:v>4</x:v>
      </x:c>
      <x:c r="B117" s="46" t="str">
        <x:v>5059</x:v>
      </x:c>
      <x:c r="C117" s="46" t="str">
        <x:v>Εξακτική/Χειρουργική</x:v>
      </x:c>
      <x:c r="D117" s="47" t="str">
        <x:v>Χειρουργική εξαγωγή</x:v>
      </x:c>
      <x:c r="E117" s="47" t="str">
        <x:v>Surgical extraction</x:v>
      </x:c>
      <x:c r="F117" s="47" t="str">
        <x:v>Operative Zahnentfernung</x:v>
      </x:c>
      <x:c r="G117" s="48" t="n">
        <x:v>150</x:v>
      </x:c>
      <x:c r="H117" s="46" t="str">
        <x:v>Yes</x:v>
      </x:c>
      <x:c r="I117" s="47" t="str">
        <x:v>Whole tooth</x:v>
      </x:c>
      <x:c r="J117" s="47" t="str">
        <x:v>Single tooth</x:v>
      </x:c>
      <x:c r="K117" s="47" t="str">
        <x:v>extraction</x:v>
      </x:c>
      <x:c r="L117" s="47" t="str">
        <x:v>extraction</x:v>
      </x:c>
      <x:c r="M117" s="47" t="str">
        <x:v>Not specified</x:v>
      </x:c>
      <x:c r="N117" s="64" t="str">
        <x:v>#E05D5D</x:v>
      </x:c>
      <x:c r="O117" s="55" t="str">
        <x:v>Medium</x:v>
      </x:c>
      <x:c r="P117" s="50" t="str">
        <x:v>High</x:v>
      </x:c>
      <x:c r="Q117" s="47" t="str">
        <x:v>Extraction keyword</x:v>
      </x:c>
      <x:c r="R117" s="47" t="str">
        <x:v>Phrase-based clinical draft; language review recommended</x:v>
      </x:c>
      <x:c r="S117" s="56" t="str">
        <x:v>No</x:v>
      </x:c>
      <x:c r="T117" s="46" t="str"/>
      <x:c r="U117" s="47" t="str"/>
      <x:c r="V117" s="46" t="str">
        <x:v>d338821ce6bbb7b</x:v>
      </x:c>
    </x:row>
    <x:row r="118">
      <x:c r="A118" s="46" t="str">
        <x:v>4</x:v>
      </x:c>
      <x:c r="B118" s="46" t="str">
        <x:v>86082</x:v>
      </x:c>
      <x:c r="C118" s="46" t="str">
        <x:v>Εξακτική/Χειρουργική</x:v>
      </x:c>
      <x:c r="D118" s="47" t="str">
        <x:v>Χειρουργική εξαγωγή εγκλείστου</x:v>
      </x:c>
      <x:c r="E118" s="47" t="str">
        <x:v>Surgical extraction of impacted tooth</x:v>
      </x:c>
      <x:c r="F118" s="47" t="str">
        <x:v>Operative Entfernung eines retinierten Zahns</x:v>
      </x:c>
      <x:c r="G118" s="48" t="n">
        <x:v>250</x:v>
      </x:c>
      <x:c r="H118" s="46" t="str">
        <x:v>Yes</x:v>
      </x:c>
      <x:c r="I118" s="47" t="str">
        <x:v>Whole tooth</x:v>
      </x:c>
      <x:c r="J118" s="47" t="str">
        <x:v>Single tooth</x:v>
      </x:c>
      <x:c r="K118" s="47" t="str">
        <x:v>extraction</x:v>
      </x:c>
      <x:c r="L118" s="47" t="str">
        <x:v>extraction</x:v>
      </x:c>
      <x:c r="M118" s="47" t="str">
        <x:v>Not specified</x:v>
      </x:c>
      <x:c r="N118" s="64" t="str">
        <x:v>#E05D5D</x:v>
      </x:c>
      <x:c r="O118" s="55" t="str">
        <x:v>Medium</x:v>
      </x:c>
      <x:c r="P118" s="50" t="str">
        <x:v>High</x:v>
      </x:c>
      <x:c r="Q118" s="47" t="str">
        <x:v>Extraction keyword</x:v>
      </x:c>
      <x:c r="R118" s="47" t="str">
        <x:v>Phrase-based clinical draft; language review recommended</x:v>
      </x:c>
      <x:c r="S118" s="56" t="str">
        <x:v>No</x:v>
      </x:c>
      <x:c r="T118" s="46" t="str"/>
      <x:c r="U118" s="47" t="str"/>
      <x:c r="V118" s="46" t="str">
        <x:v>d0b318d83c630c4</x:v>
      </x:c>
    </x:row>
    <x:row r="119">
      <x:c r="A119" s="46" t="str">
        <x:v>4</x:v>
      </x:c>
      <x:c r="B119" s="46" t="str">
        <x:v>86083</x:v>
      </x:c>
      <x:c r="C119" s="46" t="str">
        <x:v>Εξακτική/Χειρουργική</x:v>
      </x:c>
      <x:c r="D119" s="47" t="str">
        <x:v>Χειρουργική εξαγωγή ημιεγκλείστου</x:v>
      </x:c>
      <x:c r="E119" s="47" t="str">
        <x:v>Surgical extraction of partially impacted tooth</x:v>
      </x:c>
      <x:c r="F119" s="47" t="str">
        <x:v>Operative Entfernung eines teilretinierten Zahns</x:v>
      </x:c>
      <x:c r="G119" s="48" t="n">
        <x:v>200</x:v>
      </x:c>
      <x:c r="H119" s="46" t="str">
        <x:v>Yes</x:v>
      </x:c>
      <x:c r="I119" s="47" t="str">
        <x:v>Whole tooth</x:v>
      </x:c>
      <x:c r="J119" s="47" t="str">
        <x:v>Single tooth</x:v>
      </x:c>
      <x:c r="K119" s="47" t="str">
        <x:v>extraction</x:v>
      </x:c>
      <x:c r="L119" s="47" t="str">
        <x:v>extraction</x:v>
      </x:c>
      <x:c r="M119" s="47" t="str">
        <x:v>Not specified</x:v>
      </x:c>
      <x:c r="N119" s="64" t="str">
        <x:v>#E05D5D</x:v>
      </x:c>
      <x:c r="O119" s="55" t="str">
        <x:v>Medium</x:v>
      </x:c>
      <x:c r="P119" s="50" t="str">
        <x:v>High</x:v>
      </x:c>
      <x:c r="Q119" s="47" t="str">
        <x:v>Extraction keyword</x:v>
      </x:c>
      <x:c r="R119" s="47" t="str">
        <x:v>Phrase-based clinical draft; language review recommended</x:v>
      </x:c>
      <x:c r="S119" s="56" t="str">
        <x:v>No</x:v>
      </x:c>
      <x:c r="T119" s="46" t="str"/>
      <x:c r="U119" s="47" t="str"/>
      <x:c r="V119" s="46" t="str">
        <x:v>d269cf1e41342ad</x:v>
      </x:c>
    </x:row>
    <x:row r="120">
      <x:c r="A120" s="46" t="str">
        <x:v>4</x:v>
      </x:c>
      <x:c r="B120" s="46" t="str">
        <x:v>86187</x:v>
      </x:c>
      <x:c r="C120" s="46" t="str">
        <x:v>Εξακτική/Χειρουργική</x:v>
      </x:c>
      <x:c r="D120" s="47" t="str">
        <x:v>Χειρουργική επιμήκυνση μύλης</x:v>
      </x:c>
      <x:c r="E120" s="47" t="str">
        <x:v>Surgical crown lengthening</x:v>
      </x:c>
      <x:c r="F120" s="47" t="str">
        <x:v>Chirurgische Kronenverlängerung</x:v>
      </x:c>
      <x:c r="G120" s="48" t="n">
        <x:v>0</x:v>
      </x:c>
      <x:c r="H120" s="46" t="str">
        <x:v>Unknown</x:v>
      </x:c>
      <x:c r="I120" s="47" t="str">
        <x:v>Whole tooth</x:v>
      </x:c>
      <x:c r="J120" s="47" t="str">
        <x:v>Single tooth</x:v>
      </x:c>
      <x:c r="K120" s="47" t="str">
        <x:v>none</x:v>
      </x:c>
      <x:c r="L120" s="47" t="str">
        <x:v>oral-surgery</x:v>
      </x:c>
      <x:c r="M120" s="47" t="str">
        <x:v>Not specified</x:v>
      </x:c>
      <x:c r="N120" s="64" t="str">
        <x:v>#E05D5D</x:v>
      </x:c>
      <x:c r="O120" s="55" t="str">
        <x:v>Medium</x:v>
      </x:c>
      <x:c r="P120" s="55" t="str">
        <x:v>Medium</x:v>
      </x:c>
      <x:c r="Q120" s="47" t="str">
        <x:v>Oral-surgery group with legacy tooth flag</x:v>
      </x:c>
      <x:c r="R120" s="47" t="str">
        <x:v>Phrase-based clinical draft; language review recommended</x:v>
      </x:c>
      <x:c r="S120" s="52" t="str">
        <x:v>Yes</x:v>
      </x:c>
      <x:c r="T120" s="46" t="str"/>
      <x:c r="U120" s="47" t="str"/>
      <x:c r="V120" s="46" t="str">
        <x:v>d657e89d06e5ad6</x:v>
      </x:c>
    </x:row>
    <x:row r="121">
      <x:c r="A121" s="46" t="str">
        <x:v>5</x:v>
      </x:c>
      <x:c r="B121" s="46" t="str">
        <x:v>86145</x:v>
      </x:c>
      <x:c r="C121" s="46" t="str">
        <x:v>Ακίνητη Προσθετική</x:v>
      </x:c>
      <x:c r="D121" s="47" t="str">
        <x:v>Ακρυλική προσωρινή στεφάνη</x:v>
      </x:c>
      <x:c r="E121" s="47" t="str">
        <x:v>Temporary acrylic Crown</x:v>
      </x:c>
      <x:c r="F121" s="47" t="str">
        <x:v>Provisorische Acryl- Krone</x:v>
      </x:c>
      <x:c r="G121" s="48" t="n">
        <x:v>50</x:v>
      </x:c>
      <x:c r="H121" s="46" t="str">
        <x:v>Yes</x:v>
      </x:c>
      <x:c r="I121" s="47" t="str">
        <x:v>Whole tooth</x:v>
      </x:c>
      <x:c r="J121" s="47" t="str">
        <x:v>Single tooth</x:v>
      </x:c>
      <x:c r="K121" s="47" t="str">
        <x:v>crown</x:v>
      </x:c>
      <x:c r="L121" s="47" t="str">
        <x:v>crown</x:v>
      </x:c>
      <x:c r="M121" s="47" t="str">
        <x:v>Acrylic</x:v>
      </x:c>
      <x:c r="N121" s="66" t="str">
        <x:v>#2E9D63</x:v>
      </x:c>
      <x:c r="O121" s="55" t="str">
        <x:v>Medium</x:v>
      </x:c>
      <x:c r="P121" s="50" t="str">
        <x:v>High</x:v>
      </x:c>
      <x:c r="Q121" s="47" t="str">
        <x:v>Crown/veneer keyword</x:v>
      </x:c>
      <x:c r="R121" s="47" t="str">
        <x:v>Phrase-based clinical draft; language review recommended</x:v>
      </x:c>
      <x:c r="S121" s="56" t="str">
        <x:v>No</x:v>
      </x:c>
      <x:c r="T121" s="46" t="str"/>
      <x:c r="U121" s="47" t="str"/>
      <x:c r="V121" s="46" t="str">
        <x:v>d679d5f12044bf5</x:v>
      </x:c>
    </x:row>
    <x:row r="122">
      <x:c r="A122" s="46" t="str">
        <x:v>5</x:v>
      </x:c>
      <x:c r="B122" s="46" t="str">
        <x:v>4915</x:v>
      </x:c>
      <x:c r="C122" s="46" t="str">
        <x:v>Ακίνητη Προσθετική</x:v>
      </x:c>
      <x:c r="D122" s="47" t="str">
        <x:v>Άξονας υαλονημάτων</x:v>
      </x:c>
      <x:c r="E122" s="47" t="str">
        <x:v>Glass-fiber post</x:v>
      </x:c>
      <x:c r="F122" s="47" t="str">
        <x:v>Glasfaserstift</x:v>
      </x:c>
      <x:c r="G122" s="48" t="n">
        <x:v>80</x:v>
      </x:c>
      <x:c r="H122" s="46" t="str">
        <x:v>Yes</x:v>
      </x:c>
      <x:c r="I122" s="47" t="str">
        <x:v>Whole tooth</x:v>
      </x:c>
      <x:c r="J122" s="47" t="str">
        <x:v>Single tooth</x:v>
      </x:c>
      <x:c r="K122" s="47" t="str">
        <x:v>none</x:v>
      </x:c>
      <x:c r="L122" s="47" t="str">
        <x:v>fixed-prosthetic</x:v>
      </x:c>
      <x:c r="M122" s="47" t="str">
        <x:v>Not specified</x:v>
      </x:c>
      <x:c r="N122" s="66" t="str">
        <x:v>#2E9D63</x:v>
      </x:c>
      <x:c r="O122" s="50" t="str">
        <x:v>High</x:v>
      </x:c>
      <x:c r="P122" s="55" t="str">
        <x:v>Medium</x:v>
      </x:c>
      <x:c r="Q122" s="47" t="str">
        <x:v>Fixed-prosthodontic group fallback</x:v>
      </x:c>
      <x:c r="R122" s="47" t="str">
        <x:v>Exact catalogue translation</x:v>
      </x:c>
      <x:c r="S122" s="52" t="str">
        <x:v>Yes</x:v>
      </x:c>
      <x:c r="T122" s="46" t="str"/>
      <x:c r="U122" s="47" t="str"/>
      <x:c r="V122" s="46" t="str">
        <x:v>d5ab1d2ebe7f64b</x:v>
      </x:c>
    </x:row>
    <x:row r="123">
      <x:c r="A123" s="46" t="str">
        <x:v>5</x:v>
      </x:c>
      <x:c r="B123" s="46" t="str">
        <x:v>5069</x:v>
      </x:c>
      <x:c r="C123" s="46" t="str">
        <x:v>Ακίνητη Προσθετική</x:v>
      </x:c>
      <x:c r="D123" s="47" t="str">
        <x:v>Άξονας χυτός</x:v>
      </x:c>
      <x:c r="E123" s="47" t="str">
        <x:v>Cast post and core</x:v>
      </x:c>
      <x:c r="F123" s="47" t="str">
        <x:v>Gegossener Stiftaufbau</x:v>
      </x:c>
      <x:c r="G123" s="48" t="n">
        <x:v>100</x:v>
      </x:c>
      <x:c r="H123" s="46" t="str">
        <x:v>Yes</x:v>
      </x:c>
      <x:c r="I123" s="47" t="str">
        <x:v>Whole tooth</x:v>
      </x:c>
      <x:c r="J123" s="47" t="str">
        <x:v>Single tooth</x:v>
      </x:c>
      <x:c r="K123" s="47" t="str">
        <x:v>none</x:v>
      </x:c>
      <x:c r="L123" s="47" t="str">
        <x:v>fixed-prosthetic</x:v>
      </x:c>
      <x:c r="M123" s="47" t="str">
        <x:v>Not specified</x:v>
      </x:c>
      <x:c r="N123" s="66" t="str">
        <x:v>#2E9D63</x:v>
      </x:c>
      <x:c r="O123" s="50" t="str">
        <x:v>High</x:v>
      </x:c>
      <x:c r="P123" s="55" t="str">
        <x:v>Medium</x:v>
      </x:c>
      <x:c r="Q123" s="47" t="str">
        <x:v>Fixed-prosthodontic group fallback</x:v>
      </x:c>
      <x:c r="R123" s="47" t="str">
        <x:v>Exact catalogue translation</x:v>
      </x:c>
      <x:c r="S123" s="52" t="str">
        <x:v>Yes</x:v>
      </x:c>
      <x:c r="T123" s="46" t="str"/>
      <x:c r="U123" s="47" t="str"/>
      <x:c r="V123" s="46" t="str">
        <x:v>db6d4131976c4f5</x:v>
      </x:c>
    </x:row>
    <x:row r="124">
      <x:c r="A124" s="46" t="str">
        <x:v>5</x:v>
      </x:c>
      <x:c r="B124" s="46" t="str">
        <x:v>4917</x:v>
      </x:c>
      <x:c r="C124" s="46" t="str">
        <x:v>Ακίνητη Προσθετική</x:v>
      </x:c>
      <x:c r="D124" s="47" t="str">
        <x:v>Άξονας Radix Anker</x:v>
      </x:c>
      <x:c r="E124" s="47" t="str">
        <x:v>Radix Anker post</x:v>
      </x:c>
      <x:c r="F124" s="47" t="str">
        <x:v>Radix-Anker-Stift</x:v>
      </x:c>
      <x:c r="G124" s="48" t="n">
        <x:v>80</x:v>
      </x:c>
      <x:c r="H124" s="46" t="str">
        <x:v>Yes</x:v>
      </x:c>
      <x:c r="I124" s="47" t="str">
        <x:v>Whole tooth</x:v>
      </x:c>
      <x:c r="J124" s="47" t="str">
        <x:v>Single tooth</x:v>
      </x:c>
      <x:c r="K124" s="47" t="str">
        <x:v>none</x:v>
      </x:c>
      <x:c r="L124" s="47" t="str">
        <x:v>fixed-prosthetic</x:v>
      </x:c>
      <x:c r="M124" s="47" t="str">
        <x:v>Not specified</x:v>
      </x:c>
      <x:c r="N124" s="66" t="str">
        <x:v>#2E9D63</x:v>
      </x:c>
      <x:c r="O124" s="50" t="str">
        <x:v>High</x:v>
      </x:c>
      <x:c r="P124" s="55" t="str">
        <x:v>Medium</x:v>
      </x:c>
      <x:c r="Q124" s="47" t="str">
        <x:v>Fixed-prosthodontic group fallback</x:v>
      </x:c>
      <x:c r="R124" s="47" t="str">
        <x:v>Exact catalogue translation</x:v>
      </x:c>
      <x:c r="S124" s="52" t="str">
        <x:v>Yes</x:v>
      </x:c>
      <x:c r="T124" s="46" t="str"/>
      <x:c r="U124" s="47" t="str"/>
      <x:c r="V124" s="46" t="str">
        <x:v>da49503ed5ee529</x:v>
      </x:c>
    </x:row>
    <x:row r="125">
      <x:c r="A125" s="46" t="str">
        <x:v>5</x:v>
      </x:c>
      <x:c r="B125" s="46" t="str">
        <x:v>4984</x:v>
      </x:c>
      <x:c r="C125" s="46" t="str">
        <x:v>Ακίνητη Προσθετική</x:v>
      </x:c>
      <x:c r="D125" s="47" t="str">
        <x:v>Αφαίρεση στεφάνης</x:v>
      </x:c>
      <x:c r="E125" s="47" t="str">
        <x:v>Crown removal</x:v>
      </x:c>
      <x:c r="F125" s="47" t="str">
        <x:v>Kronenentfernung</x:v>
      </x:c>
      <x:c r="G125" s="48" t="n">
        <x:v>0</x:v>
      </x:c>
      <x:c r="H125" s="46" t="str">
        <x:v>Unknown</x:v>
      </x:c>
      <x:c r="I125" s="47" t="str">
        <x:v>Whole tooth</x:v>
      </x:c>
      <x:c r="J125" s="47" t="str">
        <x:v>Single tooth</x:v>
      </x:c>
      <x:c r="K125" s="47" t="str">
        <x:v>crown</x:v>
      </x:c>
      <x:c r="L125" s="47" t="str">
        <x:v>crown</x:v>
      </x:c>
      <x:c r="M125" s="47" t="str">
        <x:v>Not specified</x:v>
      </x:c>
      <x:c r="N125" s="66" t="str">
        <x:v>#2E9D63</x:v>
      </x:c>
      <x:c r="O125" s="55" t="str">
        <x:v>Medium</x:v>
      </x:c>
      <x:c r="P125" s="50" t="str">
        <x:v>High</x:v>
      </x:c>
      <x:c r="Q125" s="47" t="str">
        <x:v>Crown/veneer keyword</x:v>
      </x:c>
      <x:c r="R125" s="47" t="str">
        <x:v>Phrase-based clinical draft; language review recommended</x:v>
      </x:c>
      <x:c r="S125" s="56" t="str">
        <x:v>No</x:v>
      </x:c>
      <x:c r="T125" s="46" t="str"/>
      <x:c r="U125" s="47" t="str"/>
      <x:c r="V125" s="46" t="str">
        <x:v>dae967008ed3856</x:v>
      </x:c>
    </x:row>
    <x:row r="126">
      <x:c r="A126" s="46" t="str">
        <x:v>5</x:v>
      </x:c>
      <x:c r="B126" s="46" t="str">
        <x:v>86221</x:v>
      </x:c>
      <x:c r="C126" s="46" t="str">
        <x:v>Ακίνητη Προσθετική</x:v>
      </x:c>
      <x:c r="D126" s="47" t="str">
        <x:v>Βάθρο φρεζαριστό στεφάνης</x:v>
      </x:c>
      <x:c r="E126" s="47" t="str">
        <x:v>Milled crown base</x:v>
      </x:c>
      <x:c r="F126" s="47" t="str">
        <x:v>Gefräste Kronenbasis</x:v>
      </x:c>
      <x:c r="G126" s="48" t="n">
        <x:v>35</x:v>
      </x:c>
      <x:c r="H126" s="46" t="str">
        <x:v>Unknown</x:v>
      </x:c>
      <x:c r="I126" s="47" t="str">
        <x:v>Whole tooth</x:v>
      </x:c>
      <x:c r="J126" s="47" t="str">
        <x:v>Single tooth</x:v>
      </x:c>
      <x:c r="K126" s="47" t="str">
        <x:v>crown</x:v>
      </x:c>
      <x:c r="L126" s="47" t="str">
        <x:v>crown</x:v>
      </x:c>
      <x:c r="M126" s="47" t="str">
        <x:v>Not specified</x:v>
      </x:c>
      <x:c r="N126" s="66" t="str">
        <x:v>#2E9D63</x:v>
      </x:c>
      <x:c r="O126" s="51" t="str">
        <x:v>Needs review</x:v>
      </x:c>
      <x:c r="P126" s="50" t="str">
        <x:v>High</x:v>
      </x:c>
      <x:c r="Q126" s="47" t="str">
        <x:v>Crown/veneer keyword</x:v>
      </x:c>
      <x:c r="R126" s="47" t="str">
        <x:v>Legacy laboratory wording requires confirmation</x:v>
      </x:c>
      <x:c r="S126" s="52" t="str">
        <x:v>Yes</x:v>
      </x:c>
      <x:c r="T126" s="46" t="str"/>
      <x:c r="U126" s="47" t="str"/>
      <x:c r="V126" s="46" t="str">
        <x:v>d9cc69d47346812</x:v>
      </x:c>
    </x:row>
    <x:row r="127">
      <x:c r="A127" s="46" t="str">
        <x:v>5</x:v>
      </x:c>
      <x:c r="B127" s="46" t="str">
        <x:v>86199</x:v>
      </x:c>
      <x:c r="C127" s="46" t="str">
        <x:v>Ακίνητη Προσθετική</x:v>
      </x:c>
      <x:c r="D127" s="47" t="str">
        <x:v>Γέφυρα επί εμφυτευμάτων</x:v>
      </x:c>
      <x:c r="E127" s="47" t="str">
        <x:v>Implant-supported bridge</x:v>
      </x:c>
      <x:c r="F127" s="47" t="str">
        <x:v>Implantatgetragene Brücke</x:v>
      </x:c>
      <x:c r="G127" s="48" t="n">
        <x:v>400</x:v>
      </x:c>
      <x:c r="H127" s="46" t="str">
        <x:v>Yes</x:v>
      </x:c>
      <x:c r="I127" s="47" t="str">
        <x:v>Bridge</x:v>
      </x:c>
      <x:c r="J127" s="47" t="str">
        <x:v>Multi-tooth bridge units</x:v>
      </x:c>
      <x:c r="K127" s="47" t="str">
        <x:v>bridge</x:v>
      </x:c>
      <x:c r="L127" s="47" t="str">
        <x:v>bridge</x:v>
      </x:c>
      <x:c r="M127" s="47" t="str">
        <x:v>Implant / titanium</x:v>
      </x:c>
      <x:c r="N127" s="66" t="str">
        <x:v>#2E9D63</x:v>
      </x:c>
      <x:c r="O127" s="55" t="str">
        <x:v>Medium</x:v>
      </x:c>
      <x:c r="P127" s="50" t="str">
        <x:v>High</x:v>
      </x:c>
      <x:c r="Q127" s="47" t="str">
        <x:v>Bridge/pontic keyword</x:v>
      </x:c>
      <x:c r="R127" s="47" t="str">
        <x:v>Phrase-based clinical draft; language review recommended</x:v>
      </x:c>
      <x:c r="S127" s="56" t="str">
        <x:v>No</x:v>
      </x:c>
      <x:c r="T127" s="46" t="str"/>
      <x:c r="U127" s="47" t="str"/>
      <x:c r="V127" s="46" t="str">
        <x:v>dae93e6bbdca239</x:v>
      </x:c>
    </x:row>
    <x:row r="128">
      <x:c r="A128" s="46" t="str">
        <x:v>5</x:v>
      </x:c>
      <x:c r="B128" s="46" t="str">
        <x:v>86166</x:v>
      </x:c>
      <x:c r="C128" s="46" t="str">
        <x:v>Ακίνητη Προσθετική</x:v>
      </x:c>
      <x:c r="D128" s="47" t="str">
        <x:v>Γέφυρα ζιρκονίας</x:v>
      </x:c>
      <x:c r="E128" s="47" t="str">
        <x:v>Bridge zirconia</x:v>
      </x:c>
      <x:c r="F128" s="47" t="str">
        <x:v>Brücke Zirkonoxid</x:v>
      </x:c>
      <x:c r="G128" s="48" t="n">
        <x:v>250</x:v>
      </x:c>
      <x:c r="H128" s="46" t="str">
        <x:v>Yes</x:v>
      </x:c>
      <x:c r="I128" s="47" t="str">
        <x:v>Bridge</x:v>
      </x:c>
      <x:c r="J128" s="47" t="str">
        <x:v>Multi-tooth bridge units</x:v>
      </x:c>
      <x:c r="K128" s="47" t="str">
        <x:v>bridge</x:v>
      </x:c>
      <x:c r="L128" s="47" t="str">
        <x:v>bridge</x:v>
      </x:c>
      <x:c r="M128" s="47" t="str">
        <x:v>Zirconia</x:v>
      </x:c>
      <x:c r="N128" s="66" t="str">
        <x:v>#2E9D63</x:v>
      </x:c>
      <x:c r="O128" s="55" t="str">
        <x:v>Medium</x:v>
      </x:c>
      <x:c r="P128" s="50" t="str">
        <x:v>High</x:v>
      </x:c>
      <x:c r="Q128" s="47" t="str">
        <x:v>Bridge/pontic keyword</x:v>
      </x:c>
      <x:c r="R128" s="47" t="str">
        <x:v>Phrase-based clinical draft; language review recommended</x:v>
      </x:c>
      <x:c r="S128" s="56" t="str">
        <x:v>No</x:v>
      </x:c>
      <x:c r="T128" s="46" t="str"/>
      <x:c r="U128" s="47" t="str"/>
      <x:c r="V128" s="46" t="str">
        <x:v>dc34cc97a0be8a5</x:v>
      </x:c>
    </x:row>
    <x:row r="129">
      <x:c r="A129" s="46" t="str">
        <x:v>5</x:v>
      </x:c>
      <x:c r="B129" s="46" t="str">
        <x:v>86126</x:v>
      </x:c>
      <x:c r="C129" s="46" t="str">
        <x:v>Ακίνητη Προσθετική</x:v>
      </x:c>
      <x:c r="D129" s="47" t="str">
        <x:v>Γέφυρα μεταλλοακρυλική</x:v>
      </x:c>
      <x:c r="E129" s="47" t="str">
        <x:v>Bridge metal-acrylic</x:v>
      </x:c>
      <x:c r="F129" s="47" t="str">
        <x:v>Brücke metallakryl</x:v>
      </x:c>
      <x:c r="G129" s="48" t="n">
        <x:v>140</x:v>
      </x:c>
      <x:c r="H129" s="46" t="str">
        <x:v>Yes</x:v>
      </x:c>
      <x:c r="I129" s="47" t="str">
        <x:v>Bridge</x:v>
      </x:c>
      <x:c r="J129" s="47" t="str">
        <x:v>Multi-tooth bridge units</x:v>
      </x:c>
      <x:c r="K129" s="47" t="str">
        <x:v>bridge</x:v>
      </x:c>
      <x:c r="L129" s="47" t="str">
        <x:v>bridge</x:v>
      </x:c>
      <x:c r="M129" s="47" t="str">
        <x:v>Acrylic</x:v>
      </x:c>
      <x:c r="N129" s="66" t="str">
        <x:v>#2E9D63</x:v>
      </x:c>
      <x:c r="O129" s="55" t="str">
        <x:v>Medium</x:v>
      </x:c>
      <x:c r="P129" s="50" t="str">
        <x:v>High</x:v>
      </x:c>
      <x:c r="Q129" s="47" t="str">
        <x:v>Bridge/pontic keyword</x:v>
      </x:c>
      <x:c r="R129" s="47" t="str">
        <x:v>Phrase-based clinical draft; language review recommended</x:v>
      </x:c>
      <x:c r="S129" s="56" t="str">
        <x:v>No</x:v>
      </x:c>
      <x:c r="T129" s="46" t="str"/>
      <x:c r="U129" s="47" t="str"/>
      <x:c r="V129" s="46" t="str">
        <x:v>da943e2af7000bf</x:v>
      </x:c>
    </x:row>
    <x:row r="130">
      <x:c r="A130" s="46" t="str">
        <x:v>5</x:v>
      </x:c>
      <x:c r="B130" s="46" t="str">
        <x:v>4938</x:v>
      </x:c>
      <x:c r="C130" s="46" t="str">
        <x:v>Ακίνητη Προσθετική</x:v>
      </x:c>
      <x:c r="D130" s="47" t="str">
        <x:v>Γέφυρα μεταλλοκεραμική</x:v>
      </x:c>
      <x:c r="E130" s="47" t="str">
        <x:v>Bridge metal-ceramic</x:v>
      </x:c>
      <x:c r="F130" s="47" t="str">
        <x:v>Brücke metallkeramisch</x:v>
      </x:c>
      <x:c r="G130" s="48" t="n">
        <x:v>250</x:v>
      </x:c>
      <x:c r="H130" s="46" t="str">
        <x:v>Yes</x:v>
      </x:c>
      <x:c r="I130" s="47" t="str">
        <x:v>Bridge</x:v>
      </x:c>
      <x:c r="J130" s="47" t="str">
        <x:v>Multi-tooth bridge units</x:v>
      </x:c>
      <x:c r="K130" s="47" t="str">
        <x:v>bridge</x:v>
      </x:c>
      <x:c r="L130" s="47" t="str">
        <x:v>bridge</x:v>
      </x:c>
      <x:c r="M130" s="47" t="str">
        <x:v>Metal-ceramic</x:v>
      </x:c>
      <x:c r="N130" s="66" t="str">
        <x:v>#2E9D63</x:v>
      </x:c>
      <x:c r="O130" s="55" t="str">
        <x:v>Medium</x:v>
      </x:c>
      <x:c r="P130" s="50" t="str">
        <x:v>High</x:v>
      </x:c>
      <x:c r="Q130" s="47" t="str">
        <x:v>Bridge/pontic keyword</x:v>
      </x:c>
      <x:c r="R130" s="47" t="str">
        <x:v>Phrase-based clinical draft; language review recommended</x:v>
      </x:c>
      <x:c r="S130" s="56" t="str">
        <x:v>No</x:v>
      </x:c>
      <x:c r="T130" s="46" t="str"/>
      <x:c r="U130" s="47" t="str"/>
      <x:c r="V130" s="46" t="str">
        <x:v>dd287339655bc14</x:v>
      </x:c>
    </x:row>
    <x:row r="131">
      <x:c r="A131" s="46" t="str">
        <x:v>5</x:v>
      </x:c>
      <x:c r="B131" s="46" t="str">
        <x:v>86089</x:v>
      </x:c>
      <x:c r="C131" s="46" t="str">
        <x:v>Ακίνητη Προσθετική</x:v>
      </x:c>
      <x:c r="D131" s="47" t="str">
        <x:v>Γέφυρα Maryland</x:v>
      </x:c>
      <x:c r="E131" s="47" t="str">
        <x:v>Bridge Maryland</x:v>
      </x:c>
      <x:c r="F131" s="47" t="str">
        <x:v>Brücke Maryland</x:v>
      </x:c>
      <x:c r="G131" s="48" t="n">
        <x:v>500</x:v>
      </x:c>
      <x:c r="H131" s="46" t="str">
        <x:v>Yes</x:v>
      </x:c>
      <x:c r="I131" s="47" t="str">
        <x:v>Bridge</x:v>
      </x:c>
      <x:c r="J131" s="47" t="str">
        <x:v>Multi-tooth bridge units</x:v>
      </x:c>
      <x:c r="K131" s="47" t="str">
        <x:v>bridge</x:v>
      </x:c>
      <x:c r="L131" s="47" t="str">
        <x:v>bridge</x:v>
      </x:c>
      <x:c r="M131" s="47" t="str">
        <x:v>Not specified</x:v>
      </x:c>
      <x:c r="N131" s="66" t="str">
        <x:v>#2E9D63</x:v>
      </x:c>
      <x:c r="O131" s="55" t="str">
        <x:v>Medium</x:v>
      </x:c>
      <x:c r="P131" s="50" t="str">
        <x:v>High</x:v>
      </x:c>
      <x:c r="Q131" s="47" t="str">
        <x:v>Bridge/pontic keyword</x:v>
      </x:c>
      <x:c r="R131" s="47" t="str">
        <x:v>Phrase-based clinical draft; language review recommended</x:v>
      </x:c>
      <x:c r="S131" s="56" t="str">
        <x:v>No</x:v>
      </x:c>
      <x:c r="T131" s="46" t="str"/>
      <x:c r="U131" s="47" t="str"/>
      <x:c r="V131" s="46" t="str">
        <x:v>dcbdf13526f96c6</x:v>
      </x:c>
    </x:row>
    <x:row r="132">
      <x:c r="A132" s="46" t="str">
        <x:v>5</x:v>
      </x:c>
      <x:c r="B132" s="46" t="str">
        <x:v>4944</x:v>
      </x:c>
      <x:c r="C132" s="46" t="str">
        <x:v>Ακίνητη Προσθετική</x:v>
      </x:c>
      <x:c r="D132" s="47" t="str">
        <x:v>Ενδιάμεσο μεταλλοκεραμικό</x:v>
      </x:c>
      <x:c r="E132" s="47" t="str">
        <x:v>Pontic metal-ceramic</x:v>
      </x:c>
      <x:c r="F132" s="47" t="str">
        <x:v>Brückenglied metallkeramisch</x:v>
      </x:c>
      <x:c r="G132" s="48" t="n">
        <x:v>0</x:v>
      </x:c>
      <x:c r="H132" s="46" t="str">
        <x:v>Yes</x:v>
      </x:c>
      <x:c r="I132" s="47" t="str">
        <x:v>Bridge</x:v>
      </x:c>
      <x:c r="J132" s="47" t="str">
        <x:v>Multi-tooth bridge units</x:v>
      </x:c>
      <x:c r="K132" s="47" t="str">
        <x:v>bridge</x:v>
      </x:c>
      <x:c r="L132" s="47" t="str">
        <x:v>bridge</x:v>
      </x:c>
      <x:c r="M132" s="47" t="str">
        <x:v>Metal-ceramic</x:v>
      </x:c>
      <x:c r="N132" s="66" t="str">
        <x:v>#2E9D63</x:v>
      </x:c>
      <x:c r="O132" s="55" t="str">
        <x:v>Medium</x:v>
      </x:c>
      <x:c r="P132" s="50" t="str">
        <x:v>High</x:v>
      </x:c>
      <x:c r="Q132" s="47" t="str">
        <x:v>Bridge/pontic keyword</x:v>
      </x:c>
      <x:c r="R132" s="47" t="str">
        <x:v>Phrase-based clinical draft; language review recommended</x:v>
      </x:c>
      <x:c r="S132" s="56" t="str">
        <x:v>No</x:v>
      </x:c>
      <x:c r="T132" s="46" t="str"/>
      <x:c r="U132" s="47" t="str"/>
      <x:c r="V132" s="46" t="str">
        <x:v>d762ecaf1dc7ef4</x:v>
      </x:c>
    </x:row>
    <x:row r="133">
      <x:c r="A133" s="46" t="str">
        <x:v>5</x:v>
      </x:c>
      <x:c r="B133" s="46" t="str">
        <x:v>4348</x:v>
      </x:c>
      <x:c r="C133" s="46" t="str">
        <x:v>Ακίνητη Προσθετική</x:v>
      </x:c>
      <x:c r="D133" s="47" t="str">
        <x:v>Ενδιάμεσο ολικής χυτής</x:v>
      </x:c>
      <x:c r="E133" s="47" t="str">
        <x:v>Pontic full-cast</x:v>
      </x:c>
      <x:c r="F133" s="47" t="str">
        <x:v>Brückenglied Vollguss-</x:v>
      </x:c>
      <x:c r="G133" s="48" t="n">
        <x:v>0</x:v>
      </x:c>
      <x:c r="H133" s="46" t="str">
        <x:v>Unknown</x:v>
      </x:c>
      <x:c r="I133" s="47" t="str">
        <x:v>Bridge</x:v>
      </x:c>
      <x:c r="J133" s="47" t="str">
        <x:v>Multi-tooth bridge units</x:v>
      </x:c>
      <x:c r="K133" s="47" t="str">
        <x:v>bridge</x:v>
      </x:c>
      <x:c r="L133" s="47" t="str">
        <x:v>bridge</x:v>
      </x:c>
      <x:c r="M133" s="47" t="str">
        <x:v>Not specified</x:v>
      </x:c>
      <x:c r="N133" s="66" t="str">
        <x:v>#2E9D63</x:v>
      </x:c>
      <x:c r="O133" s="55" t="str">
        <x:v>Medium</x:v>
      </x:c>
      <x:c r="P133" s="50" t="str">
        <x:v>High</x:v>
      </x:c>
      <x:c r="Q133" s="47" t="str">
        <x:v>Bridge/pontic keyword</x:v>
      </x:c>
      <x:c r="R133" s="47" t="str">
        <x:v>Phrase-based clinical draft; language review recommended</x:v>
      </x:c>
      <x:c r="S133" s="56" t="str">
        <x:v>No</x:v>
      </x:c>
      <x:c r="T133" s="46" t="str"/>
      <x:c r="U133" s="47" t="str"/>
      <x:c r="V133" s="46" t="str">
        <x:v>d4d46256902a92b</x:v>
      </x:c>
    </x:row>
    <x:row r="134">
      <x:c r="A134" s="46" t="str">
        <x:v>5</x:v>
      </x:c>
      <x:c r="B134" s="46" t="str">
        <x:v>5074</x:v>
      </x:c>
      <x:c r="C134" s="46" t="str">
        <x:v>Ακίνητη Προσθετική</x:v>
      </x:c>
      <x:c r="D134" s="47" t="str">
        <x:v>ΕΝΘΕΤΟ</x:v>
      </x:c>
      <x:c r="E134" s="47" t="str">
        <x:v>Inlay</x:v>
      </x:c>
      <x:c r="F134" s="47" t="str">
        <x:v>Inlay</x:v>
      </x:c>
      <x:c r="G134" s="48" t="n">
        <x:v>170</x:v>
      </x:c>
      <x:c r="H134" s="46" t="str">
        <x:v>Unknown</x:v>
      </x:c>
      <x:c r="I134" s="47" t="str">
        <x:v>Surface-based</x:v>
      </x:c>
      <x:c r="J134" s="47" t="str">
        <x:v>Tooth surfaces (optional)</x:v>
      </x:c>
      <x:c r="K134" s="47" t="str">
        <x:v>filling</x:v>
      </x:c>
      <x:c r="L134" s="47" t="str">
        <x:v>inlay-onlay</x:v>
      </x:c>
      <x:c r="M134" s="47" t="str">
        <x:v>Not specified</x:v>
      </x:c>
      <x:c r="N134" s="66" t="str">
        <x:v>#2E9D63</x:v>
      </x:c>
      <x:c r="O134" s="50" t="str">
        <x:v>High</x:v>
      </x:c>
      <x:c r="P134" s="50" t="str">
        <x:v>High</x:v>
      </x:c>
      <x:c r="Q134" s="47" t="str">
        <x:v>Restoration/surface keyword</x:v>
      </x:c>
      <x:c r="R134" s="47" t="str">
        <x:v>Exact catalogue translation</x:v>
      </x:c>
      <x:c r="S134" s="56" t="str">
        <x:v>No</x:v>
      </x:c>
      <x:c r="T134" s="46" t="str"/>
      <x:c r="U134" s="47" t="str"/>
      <x:c r="V134" s="46" t="str">
        <x:v>d34c4a1b4f16716</x:v>
      </x:c>
    </x:row>
    <x:row r="135">
      <x:c r="A135" s="46" t="str">
        <x:v>5</x:v>
      </x:c>
      <x:c r="B135" s="46" t="str">
        <x:v>86190</x:v>
      </x:c>
      <x:c r="C135" s="46" t="str">
        <x:v>Ακίνητη Προσθετική</x:v>
      </x:c>
      <x:c r="D135" s="47" t="str">
        <x:v>Ένθετο/υπερένθετο ζιρκονίας</x:v>
      </x:c>
      <x:c r="E135" s="47" t="str">
        <x:v>Inlay/onlay zirconia</x:v>
      </x:c>
      <x:c r="F135" s="47" t="str">
        <x:v>Inlay/Onlay Zirkonoxid</x:v>
      </x:c>
      <x:c r="G135" s="48" t="n">
        <x:v>250</x:v>
      </x:c>
      <x:c r="H135" s="46" t="str">
        <x:v>No</x:v>
      </x:c>
      <x:c r="I135" s="47" t="str">
        <x:v>Surface-based</x:v>
      </x:c>
      <x:c r="J135" s="47" t="str">
        <x:v>Tooth surfaces (optional)</x:v>
      </x:c>
      <x:c r="K135" s="47" t="str">
        <x:v>filling</x:v>
      </x:c>
      <x:c r="L135" s="47" t="str">
        <x:v>inlay-onlay</x:v>
      </x:c>
      <x:c r="M135" s="47" t="str">
        <x:v>Zirconia</x:v>
      </x:c>
      <x:c r="N135" s="66" t="str">
        <x:v>#2E9D63</x:v>
      </x:c>
      <x:c r="O135" s="55" t="str">
        <x:v>Medium</x:v>
      </x:c>
      <x:c r="P135" s="55" t="str">
        <x:v>Medium</x:v>
      </x:c>
      <x:c r="Q135" s="47" t="str">
        <x:v>Restoration/surface keyword; source toothRequired=false conflicts with suggested target</x:v>
      </x:c>
      <x:c r="R135" s="47" t="str">
        <x:v>Phrase-based clinical draft; language review recommended</x:v>
      </x:c>
      <x:c r="S135" s="52" t="str">
        <x:v>Yes</x:v>
      </x:c>
      <x:c r="T135" s="46" t="str"/>
      <x:c r="U135" s="47" t="str"/>
      <x:c r="V135" s="46" t="str">
        <x:v>d48ec61d4cbe107</x:v>
      </x:c>
    </x:row>
    <x:row r="136">
      <x:c r="A136" s="46" t="str">
        <x:v>5</x:v>
      </x:c>
      <x:c r="B136" s="46" t="str">
        <x:v>86185</x:v>
      </x:c>
      <x:c r="C136" s="46" t="str">
        <x:v>Ακίνητη Προσθετική</x:v>
      </x:c>
      <x:c r="D136" s="47" t="str">
        <x:v>Ένθετο/υπερένθετο κεραμικό</x:v>
      </x:c>
      <x:c r="E136" s="47" t="str">
        <x:v>Inlay/onlay ceramic</x:v>
      </x:c>
      <x:c r="F136" s="47" t="str">
        <x:v>Inlay/Onlay Keramik</x:v>
      </x:c>
      <x:c r="G136" s="48" t="n">
        <x:v>350</x:v>
      </x:c>
      <x:c r="H136" s="46" t="str">
        <x:v>Yes</x:v>
      </x:c>
      <x:c r="I136" s="47" t="str">
        <x:v>Surface-based</x:v>
      </x:c>
      <x:c r="J136" s="47" t="str">
        <x:v>Tooth surfaces (optional)</x:v>
      </x:c>
      <x:c r="K136" s="47" t="str">
        <x:v>filling</x:v>
      </x:c>
      <x:c r="L136" s="47" t="str">
        <x:v>inlay-onlay</x:v>
      </x:c>
      <x:c r="M136" s="47" t="str">
        <x:v>Ceramic</x:v>
      </x:c>
      <x:c r="N136" s="66" t="str">
        <x:v>#2E9D63</x:v>
      </x:c>
      <x:c r="O136" s="55" t="str">
        <x:v>Medium</x:v>
      </x:c>
      <x:c r="P136" s="50" t="str">
        <x:v>High</x:v>
      </x:c>
      <x:c r="Q136" s="47" t="str">
        <x:v>Restoration/surface keyword</x:v>
      </x:c>
      <x:c r="R136" s="47" t="str">
        <x:v>Phrase-based clinical draft; language review recommended</x:v>
      </x:c>
      <x:c r="S136" s="56" t="str">
        <x:v>No</x:v>
      </x:c>
      <x:c r="T136" s="46" t="str"/>
      <x:c r="U136" s="47" t="str"/>
      <x:c r="V136" s="46" t="str">
        <x:v>d9edb0e8be02200</x:v>
      </x:c>
    </x:row>
    <x:row r="137">
      <x:c r="A137" s="46" t="str">
        <x:v>5</x:v>
      </x:c>
      <x:c r="B137" s="46" t="str">
        <x:v>86184</x:v>
      </x:c>
      <x:c r="C137" s="46" t="str">
        <x:v>Ακίνητη Προσθετική</x:v>
      </x:c>
      <x:c r="D137" s="47" t="str">
        <x:v>Ένθετο/υπερένθετο ρητίνης</x:v>
      </x:c>
      <x:c r="E137" s="47" t="str">
        <x:v>Inlay/onlay resin</x:v>
      </x:c>
      <x:c r="F137" s="47" t="str">
        <x:v>Inlay/Onlay Komposit</x:v>
      </x:c>
      <x:c r="G137" s="48" t="n">
        <x:v>250</x:v>
      </x:c>
      <x:c r="H137" s="46" t="str">
        <x:v>Yes</x:v>
      </x:c>
      <x:c r="I137" s="47" t="str">
        <x:v>Surface-based</x:v>
      </x:c>
      <x:c r="J137" s="47" t="str">
        <x:v>Tooth surfaces (optional)</x:v>
      </x:c>
      <x:c r="K137" s="47" t="str">
        <x:v>filling</x:v>
      </x:c>
      <x:c r="L137" s="47" t="str">
        <x:v>inlay-onlay</x:v>
      </x:c>
      <x:c r="M137" s="47" t="str">
        <x:v>Composite resin</x:v>
      </x:c>
      <x:c r="N137" s="66" t="str">
        <x:v>#2E9D63</x:v>
      </x:c>
      <x:c r="O137" s="55" t="str">
        <x:v>Medium</x:v>
      </x:c>
      <x:c r="P137" s="50" t="str">
        <x:v>High</x:v>
      </x:c>
      <x:c r="Q137" s="47" t="str">
        <x:v>Restoration/surface keyword</x:v>
      </x:c>
      <x:c r="R137" s="47" t="str">
        <x:v>Phrase-based clinical draft; language review recommended</x:v>
      </x:c>
      <x:c r="S137" s="56" t="str">
        <x:v>No</x:v>
      </x:c>
      <x:c r="T137" s="46" t="str"/>
      <x:c r="U137" s="47" t="str"/>
      <x:c r="V137" s="46" t="str">
        <x:v>db0c4c5bf3e13c0</x:v>
      </x:c>
    </x:row>
    <x:row r="138">
      <x:c r="A138" s="46" t="str">
        <x:v>5</x:v>
      </x:c>
      <x:c r="B138" s="46" t="str">
        <x:v>5047</x:v>
      </x:c>
      <x:c r="C138" s="46" t="str">
        <x:v>Ακίνητη Προσθετική</x:v>
      </x:c>
      <x:c r="D138" s="47" t="str">
        <x:v>Όψη πορσελάνης</x:v>
      </x:c>
      <x:c r="E138" s="47" t="str">
        <x:v>Porcelain veneer</x:v>
      </x:c>
      <x:c r="F138" s="47" t="str">
        <x:v>Keramikveneer</x:v>
      </x:c>
      <x:c r="G138" s="48" t="n">
        <x:v>350</x:v>
      </x:c>
      <x:c r="H138" s="46" t="str">
        <x:v>Yes</x:v>
      </x:c>
      <x:c r="I138" s="47" t="str">
        <x:v>Whole tooth</x:v>
      </x:c>
      <x:c r="J138" s="47" t="str">
        <x:v>Single tooth</x:v>
      </x:c>
      <x:c r="K138" s="47" t="str">
        <x:v>crown</x:v>
      </x:c>
      <x:c r="L138" s="47" t="str">
        <x:v>veneer</x:v>
      </x:c>
      <x:c r="M138" s="47" t="str">
        <x:v>Not specified</x:v>
      </x:c>
      <x:c r="N138" s="66" t="str">
        <x:v>#2E9D63</x:v>
      </x:c>
      <x:c r="O138" s="55" t="str">
        <x:v>Medium</x:v>
      </x:c>
      <x:c r="P138" s="50" t="str">
        <x:v>High</x:v>
      </x:c>
      <x:c r="Q138" s="47" t="str">
        <x:v>Crown/veneer keyword</x:v>
      </x:c>
      <x:c r="R138" s="47" t="str">
        <x:v>Phrase-based clinical draft; language review recommended</x:v>
      </x:c>
      <x:c r="S138" s="56" t="str">
        <x:v>No</x:v>
      </x:c>
      <x:c r="T138" s="46" t="str"/>
      <x:c r="U138" s="47" t="str"/>
      <x:c r="V138" s="46" t="str">
        <x:v>d9c33914750e85d</x:v>
      </x:c>
    </x:row>
    <x:row r="139">
      <x:c r="A139" s="46" t="str">
        <x:v>5</x:v>
      </x:c>
      <x:c r="B139" s="46" t="str">
        <x:v>86201</x:v>
      </x:c>
      <x:c r="C139" s="46" t="str">
        <x:v>Ακίνητη Προσθετική</x:v>
      </x:c>
      <x:c r="D139" s="47" t="str">
        <x:v>Όψη ρητίνης</x:v>
      </x:c>
      <x:c r="E139" s="47" t="str">
        <x:v>Composite veneer</x:v>
      </x:c>
      <x:c r="F139" s="47" t="str">
        <x:v>Kompositveneer</x:v>
      </x:c>
      <x:c r="G139" s="48" t="n">
        <x:v>200</x:v>
      </x:c>
      <x:c r="H139" s="46" t="str">
        <x:v>No</x:v>
      </x:c>
      <x:c r="I139" s="47" t="str">
        <x:v>Surface-based</x:v>
      </x:c>
      <x:c r="J139" s="47" t="str">
        <x:v>Tooth surfaces (optional)</x:v>
      </x:c>
      <x:c r="K139" s="47" t="str">
        <x:v>filling</x:v>
      </x:c>
      <x:c r="L139" s="47" t="str">
        <x:v>filling</x:v>
      </x:c>
      <x:c r="M139" s="47" t="str">
        <x:v>Composite resin</x:v>
      </x:c>
      <x:c r="N139" s="66" t="str">
        <x:v>#2E9D63</x:v>
      </x:c>
      <x:c r="O139" s="55" t="str">
        <x:v>Medium</x:v>
      </x:c>
      <x:c r="P139" s="55" t="str">
        <x:v>Medium</x:v>
      </x:c>
      <x:c r="Q139" s="47" t="str">
        <x:v>Restoration/surface keyword; source toothRequired=false conflicts with suggested target</x:v>
      </x:c>
      <x:c r="R139" s="47" t="str">
        <x:v>Phrase-based clinical draft; language review recommended</x:v>
      </x:c>
      <x:c r="S139" s="52" t="str">
        <x:v>Yes</x:v>
      </x:c>
      <x:c r="T139" s="46" t="str"/>
      <x:c r="U139" s="47" t="str"/>
      <x:c r="V139" s="46" t="str">
        <x:v>d9710a1e70db620</x:v>
      </x:c>
    </x:row>
    <x:row r="140">
      <x:c r="A140" s="46" t="str">
        <x:v>5</x:v>
      </x:c>
      <x:c r="B140" s="46" t="str">
        <x:v>86093</x:v>
      </x:c>
      <x:c r="C140" s="46" t="str">
        <x:v>Ακίνητη Προσθετική</x:v>
      </x:c>
      <x:c r="D140" s="47" t="str">
        <x:v>Πρόβα σκελετού</x:v>
      </x:c>
      <x:c r="E140" s="47" t="str">
        <x:v>Framework try-in</x:v>
      </x:c>
      <x:c r="F140" s="47" t="str">
        <x:v>Gerüsteinprobe</x:v>
      </x:c>
      <x:c r="G140" s="48" t="n">
        <x:v>0</x:v>
      </x:c>
      <x:c r="H140" s="46" t="str">
        <x:v>Unknown</x:v>
      </x:c>
      <x:c r="I140" s="47" t="str">
        <x:v>Whole tooth</x:v>
      </x:c>
      <x:c r="J140" s="47" t="str">
        <x:v>Single tooth</x:v>
      </x:c>
      <x:c r="K140" s="47" t="str">
        <x:v>none</x:v>
      </x:c>
      <x:c r="L140" s="47" t="str">
        <x:v>fixed-prosthetic</x:v>
      </x:c>
      <x:c r="M140" s="47" t="str">
        <x:v>Not specified</x:v>
      </x:c>
      <x:c r="N140" s="66" t="str">
        <x:v>#2E9D63</x:v>
      </x:c>
      <x:c r="O140" s="50" t="str">
        <x:v>High</x:v>
      </x:c>
      <x:c r="P140" s="55" t="str">
        <x:v>Medium</x:v>
      </x:c>
      <x:c r="Q140" s="47" t="str">
        <x:v>Fixed-prosthodontic group fallback</x:v>
      </x:c>
      <x:c r="R140" s="47" t="str">
        <x:v>Exact catalogue translation</x:v>
      </x:c>
      <x:c r="S140" s="52" t="str">
        <x:v>Yes</x:v>
      </x:c>
      <x:c r="T140" s="46" t="str"/>
      <x:c r="U140" s="47" t="str"/>
      <x:c r="V140" s="46" t="str">
        <x:v>d4fa705bfb86355</x:v>
      </x:c>
    </x:row>
    <x:row r="141">
      <x:c r="A141" s="46" t="str">
        <x:v>5</x:v>
      </x:c>
      <x:c r="B141" s="46" t="str">
        <x:v>86094</x:v>
      </x:c>
      <x:c r="C141" s="46" t="str">
        <x:v>Ακίνητη Προσθετική</x:v>
      </x:c>
      <x:c r="D141" s="47" t="str">
        <x:v>Πρόβα Rohbrand</x:v>
      </x:c>
      <x:c r="E141" s="47" t="str">
        <x:v>Bisque-bake try-in</x:v>
      </x:c>
      <x:c r="F141" s="47" t="str">
        <x:v>Rohbrandeinprobe</x:v>
      </x:c>
      <x:c r="G141" s="48" t="n">
        <x:v>0</x:v>
      </x:c>
      <x:c r="H141" s="46" t="str">
        <x:v>Unknown</x:v>
      </x:c>
      <x:c r="I141" s="47" t="str">
        <x:v>Whole tooth</x:v>
      </x:c>
      <x:c r="J141" s="47" t="str">
        <x:v>Single tooth</x:v>
      </x:c>
      <x:c r="K141" s="47" t="str">
        <x:v>none</x:v>
      </x:c>
      <x:c r="L141" s="47" t="str">
        <x:v>fixed-prosthetic</x:v>
      </x:c>
      <x:c r="M141" s="47" t="str">
        <x:v>Not specified</x:v>
      </x:c>
      <x:c r="N141" s="66" t="str">
        <x:v>#2E9D63</x:v>
      </x:c>
      <x:c r="O141" s="50" t="str">
        <x:v>High</x:v>
      </x:c>
      <x:c r="P141" s="55" t="str">
        <x:v>Medium</x:v>
      </x:c>
      <x:c r="Q141" s="47" t="str">
        <x:v>Fixed-prosthodontic group fallback</x:v>
      </x:c>
      <x:c r="R141" s="47" t="str">
        <x:v>Exact catalogue translation</x:v>
      </x:c>
      <x:c r="S141" s="52" t="str">
        <x:v>Yes</x:v>
      </x:c>
      <x:c r="T141" s="46" t="str"/>
      <x:c r="U141" s="47" t="str"/>
      <x:c r="V141" s="46" t="str">
        <x:v>dcafcfe3756b868</x:v>
      </x:c>
    </x:row>
    <x:row r="142">
      <x:c r="A142" s="46" t="str">
        <x:v>5</x:v>
      </x:c>
      <x:c r="B142" s="46" t="str">
        <x:v>86210</x:v>
      </x:c>
      <x:c r="C142" s="46" t="str">
        <x:v>Ακίνητη Προσθετική</x:v>
      </x:c>
      <x:c r="D142" s="47" t="str">
        <x:v>προσω</x:v>
      </x:c>
      <x:c r="E142" s="47" t="str">
        <x:v>Temporary procedure (legacy shorthand)</x:v>
      </x:c>
      <x:c r="F142" s="47" t="str">
        <x:v>Provisorische Leistung (alte Kurzbezeichnung)</x:v>
      </x:c>
      <x:c r="G142" s="48" t="n">
        <x:v>0</x:v>
      </x:c>
      <x:c r="H142" s="46" t="str">
        <x:v>Unknown</x:v>
      </x:c>
      <x:c r="I142" s="47" t="str">
        <x:v>Whole tooth</x:v>
      </x:c>
      <x:c r="J142" s="47" t="str">
        <x:v>Single tooth</x:v>
      </x:c>
      <x:c r="K142" s="47" t="str">
        <x:v>none</x:v>
      </x:c>
      <x:c r="L142" s="47" t="str">
        <x:v>fixed-prosthetic</x:v>
      </x:c>
      <x:c r="M142" s="47" t="str">
        <x:v>Not specified</x:v>
      </x:c>
      <x:c r="N142" s="66" t="str">
        <x:v>#2E9D63</x:v>
      </x:c>
      <x:c r="O142" s="50" t="str">
        <x:v>High</x:v>
      </x:c>
      <x:c r="P142" s="55" t="str">
        <x:v>Medium</x:v>
      </x:c>
      <x:c r="Q142" s="47" t="str">
        <x:v>Fixed-prosthodontic group fallback</x:v>
      </x:c>
      <x:c r="R142" s="47" t="str">
        <x:v>Exact catalogue translation</x:v>
      </x:c>
      <x:c r="S142" s="52" t="str">
        <x:v>Yes</x:v>
      </x:c>
      <x:c r="T142" s="46" t="str"/>
      <x:c r="U142" s="47" t="str"/>
      <x:c r="V142" s="46" t="str">
        <x:v>d9da1576f5cf08a</x:v>
      </x:c>
    </x:row>
    <x:row r="143">
      <x:c r="A143" s="46" t="str">
        <x:v>5</x:v>
      </x:c>
      <x:c r="B143" s="46" t="str">
        <x:v>5048</x:v>
      </x:c>
      <x:c r="C143" s="46" t="str">
        <x:v>Ακίνητη Προσθετική</x:v>
      </x:c>
      <x:c r="D143" s="47" t="str">
        <x:v>ΣΤΕΦΑΝΗ  ΠΡΟΣΩΡΙΝΗ ΑΚΡΥΛΙΚΗ</x:v>
      </x:c>
      <x:c r="E143" s="47" t="str">
        <x:v>Temporary acrylic crown</x:v>
      </x:c>
      <x:c r="F143" s="47" t="str">
        <x:v>Provisorische Acrylkrone</x:v>
      </x:c>
      <x:c r="G143" s="48" t="n">
        <x:v>35</x:v>
      </x:c>
      <x:c r="H143" s="46" t="str">
        <x:v>Unknown</x:v>
      </x:c>
      <x:c r="I143" s="47" t="str">
        <x:v>Whole tooth</x:v>
      </x:c>
      <x:c r="J143" s="47" t="str">
        <x:v>Single tooth</x:v>
      </x:c>
      <x:c r="K143" s="47" t="str">
        <x:v>crown</x:v>
      </x:c>
      <x:c r="L143" s="47" t="str">
        <x:v>crown</x:v>
      </x:c>
      <x:c r="M143" s="47" t="str">
        <x:v>Acrylic</x:v>
      </x:c>
      <x:c r="N143" s="66" t="str">
        <x:v>#2E9D63</x:v>
      </x:c>
      <x:c r="O143" s="50" t="str">
        <x:v>High</x:v>
      </x:c>
      <x:c r="P143" s="50" t="str">
        <x:v>High</x:v>
      </x:c>
      <x:c r="Q143" s="47" t="str">
        <x:v>Crown/veneer keyword</x:v>
      </x:c>
      <x:c r="R143" s="47" t="str">
        <x:v>Exact catalogue translation</x:v>
      </x:c>
      <x:c r="S143" s="56" t="str">
        <x:v>No</x:v>
      </x:c>
      <x:c r="T143" s="46" t="str"/>
      <x:c r="U143" s="47" t="str"/>
      <x:c r="V143" s="46" t="str">
        <x:v>dc09b7fb30ccbd9</x:v>
      </x:c>
    </x:row>
    <x:row r="144">
      <x:c r="A144" s="46" t="str">
        <x:v>5</x:v>
      </x:c>
      <x:c r="B144" s="46" t="str">
        <x:v>4345</x:v>
      </x:c>
      <x:c r="C144" s="46" t="str">
        <x:v>Ακίνητη Προσθετική</x:v>
      </x:c>
      <x:c r="D144" s="47" t="str">
        <x:v>ΣΤΕΦΑΝΗ ΑΝΟΞΕΙΔ. ΝΕΟΓΙΛΩΝ</x:v>
      </x:c>
      <x:c r="E144" s="47" t="str">
        <x:v>Stainless-steel crown for primary teeth</x:v>
      </x:c>
      <x:c r="F144" s="47" t="str">
        <x:v>Edelstahlkrone für Milchzähne</x:v>
      </x:c>
      <x:c r="G144" s="48" t="n">
        <x:v>0</x:v>
      </x:c>
      <x:c r="H144" s="46" t="str">
        <x:v>Unknown</x:v>
      </x:c>
      <x:c r="I144" s="47" t="str">
        <x:v>Whole tooth</x:v>
      </x:c>
      <x:c r="J144" s="47" t="str">
        <x:v>Single tooth</x:v>
      </x:c>
      <x:c r="K144" s="47" t="str">
        <x:v>crown</x:v>
      </x:c>
      <x:c r="L144" s="47" t="str">
        <x:v>crown</x:v>
      </x:c>
      <x:c r="M144" s="47" t="str">
        <x:v>Not specified</x:v>
      </x:c>
      <x:c r="N144" s="66" t="str">
        <x:v>#2E9D63</x:v>
      </x:c>
      <x:c r="O144" s="50" t="str">
        <x:v>High</x:v>
      </x:c>
      <x:c r="P144" s="50" t="str">
        <x:v>High</x:v>
      </x:c>
      <x:c r="Q144" s="47" t="str">
        <x:v>Crown/veneer keyword</x:v>
      </x:c>
      <x:c r="R144" s="47" t="str">
        <x:v>Exact catalogue translation</x:v>
      </x:c>
      <x:c r="S144" s="56" t="str">
        <x:v>No</x:v>
      </x:c>
      <x:c r="T144" s="46" t="str"/>
      <x:c r="U144" s="47" t="str"/>
      <x:c r="V144" s="46" t="str">
        <x:v>d49a4ee6c4c9192</x:v>
      </x:c>
    </x:row>
    <x:row r="145">
      <x:c r="A145" s="46" t="str">
        <x:v>5</x:v>
      </x:c>
      <x:c r="B145" s="46" t="str">
        <x:v>86191</x:v>
      </x:c>
      <x:c r="C145" s="46" t="str">
        <x:v>Ακίνητη Προσθετική</x:v>
      </x:c>
      <x:c r="D145" s="47" t="str">
        <x:v>Στεφάνη επί εμφυτεύματος</x:v>
      </x:c>
      <x:c r="E145" s="47" t="str">
        <x:v>Implant-supported crown</x:v>
      </x:c>
      <x:c r="F145" s="47" t="str">
        <x:v>Implantatgetragene Krone</x:v>
      </x:c>
      <x:c r="G145" s="48" t="n">
        <x:v>400</x:v>
      </x:c>
      <x:c r="H145" s="46" t="str">
        <x:v>Yes</x:v>
      </x:c>
      <x:c r="I145" s="47" t="str">
        <x:v>Whole tooth</x:v>
      </x:c>
      <x:c r="J145" s="47" t="str">
        <x:v>Single tooth</x:v>
      </x:c>
      <x:c r="K145" s="47" t="str">
        <x:v>crown</x:v>
      </x:c>
      <x:c r="L145" s="47" t="str">
        <x:v>crown</x:v>
      </x:c>
      <x:c r="M145" s="47" t="str">
        <x:v>Implant / titanium</x:v>
      </x:c>
      <x:c r="N145" s="66" t="str">
        <x:v>#2E9D63</x:v>
      </x:c>
      <x:c r="O145" s="55" t="str">
        <x:v>Medium</x:v>
      </x:c>
      <x:c r="P145" s="50" t="str">
        <x:v>High</x:v>
      </x:c>
      <x:c r="Q145" s="47" t="str">
        <x:v>Crown/veneer keyword</x:v>
      </x:c>
      <x:c r="R145" s="47" t="str">
        <x:v>Phrase-based clinical draft; language review recommended</x:v>
      </x:c>
      <x:c r="S145" s="56" t="str">
        <x:v>No</x:v>
      </x:c>
      <x:c r="T145" s="46" t="str"/>
      <x:c r="U145" s="47" t="str"/>
      <x:c r="V145" s="46" t="str">
        <x:v>d971aef0e808f8b</x:v>
      </x:c>
    </x:row>
    <x:row r="146">
      <x:c r="A146" s="46" t="str">
        <x:v>5</x:v>
      </x:c>
      <x:c r="B146" s="46" t="str">
        <x:v>86151</x:v>
      </x:c>
      <x:c r="C146" s="46" t="str">
        <x:v>Ακίνητη Προσθετική</x:v>
      </x:c>
      <x:c r="D146" s="47" t="str">
        <x:v>Στεφάνη ζιρκονίας</x:v>
      </x:c>
      <x:c r="E146" s="47" t="str">
        <x:v>Crown zirconia</x:v>
      </x:c>
      <x:c r="F146" s="47" t="str">
        <x:v>Krone Zirkonoxid</x:v>
      </x:c>
      <x:c r="G146" s="48" t="n">
        <x:v>330</x:v>
      </x:c>
      <x:c r="H146" s="46" t="str">
        <x:v>Yes</x:v>
      </x:c>
      <x:c r="I146" s="47" t="str">
        <x:v>Whole tooth</x:v>
      </x:c>
      <x:c r="J146" s="47" t="str">
        <x:v>Single tooth</x:v>
      </x:c>
      <x:c r="K146" s="47" t="str">
        <x:v>crown</x:v>
      </x:c>
      <x:c r="L146" s="47" t="str">
        <x:v>crown</x:v>
      </x:c>
      <x:c r="M146" s="47" t="str">
        <x:v>Zirconia</x:v>
      </x:c>
      <x:c r="N146" s="66" t="str">
        <x:v>#2E9D63</x:v>
      </x:c>
      <x:c r="O146" s="55" t="str">
        <x:v>Medium</x:v>
      </x:c>
      <x:c r="P146" s="50" t="str">
        <x:v>High</x:v>
      </x:c>
      <x:c r="Q146" s="47" t="str">
        <x:v>Crown/veneer keyword</x:v>
      </x:c>
      <x:c r="R146" s="47" t="str">
        <x:v>Phrase-based clinical draft; language review recommended</x:v>
      </x:c>
      <x:c r="S146" s="56" t="str">
        <x:v>No</x:v>
      </x:c>
      <x:c r="T146" s="46" t="str"/>
      <x:c r="U146" s="47" t="str"/>
      <x:c r="V146" s="46" t="str">
        <x:v>d8cd07f6d60780d</x:v>
      </x:c>
    </x:row>
    <x:row r="147">
      <x:c r="A147" s="46" t="str">
        <x:v>5</x:v>
      </x:c>
      <x:c r="B147" s="46" t="str">
        <x:v>86182</x:v>
      </x:c>
      <x:c r="C147" s="46" t="str">
        <x:v>Ακίνητη Προσθετική</x:v>
      </x:c>
      <x:c r="D147" s="47" t="str">
        <x:v>Στεφάνη ζιρκονίας/κεραμική όψη</x:v>
      </x:c>
      <x:c r="E147" s="47" t="str">
        <x:v>Zirconia crown with ceramic veneer</x:v>
      </x:c>
      <x:c r="F147" s="47" t="str">
        <x:v>Zirkonoxidkrone mit keramischer Verblendung</x:v>
      </x:c>
      <x:c r="G147" s="48" t="n">
        <x:v>330</x:v>
      </x:c>
      <x:c r="H147" s="46" t="str">
        <x:v>Yes</x:v>
      </x:c>
      <x:c r="I147" s="47" t="str">
        <x:v>Whole tooth</x:v>
      </x:c>
      <x:c r="J147" s="47" t="str">
        <x:v>Single tooth</x:v>
      </x:c>
      <x:c r="K147" s="47" t="str">
        <x:v>crown</x:v>
      </x:c>
      <x:c r="L147" s="47" t="str">
        <x:v>veneer</x:v>
      </x:c>
      <x:c r="M147" s="47" t="str">
        <x:v>Zirconia</x:v>
      </x:c>
      <x:c r="N147" s="66" t="str">
        <x:v>#2E9D63</x:v>
      </x:c>
      <x:c r="O147" s="50" t="str">
        <x:v>High</x:v>
      </x:c>
      <x:c r="P147" s="50" t="str">
        <x:v>High</x:v>
      </x:c>
      <x:c r="Q147" s="47" t="str">
        <x:v>Crown/veneer keyword</x:v>
      </x:c>
      <x:c r="R147" s="47" t="str">
        <x:v>Exact catalogue translation</x:v>
      </x:c>
      <x:c r="S147" s="56" t="str">
        <x:v>No</x:v>
      </x:c>
      <x:c r="T147" s="46" t="str"/>
      <x:c r="U147" s="47" t="str"/>
      <x:c r="V147" s="46" t="str">
        <x:v>d45830d161d80d3</x:v>
      </x:c>
    </x:row>
    <x:row r="148">
      <x:c r="A148" s="46" t="str">
        <x:v>5</x:v>
      </x:c>
      <x:c r="B148" s="46" t="str">
        <x:v>86181</x:v>
      </x:c>
      <x:c r="C148" s="46" t="str">
        <x:v>Ακίνητη Προσθετική</x:v>
      </x:c>
      <x:c r="D148" s="47" t="str">
        <x:v>Στεφάνη ζιρκονίας/κεραμική πλ. χτιστή</x:v>
      </x:c>
      <x:c r="E148" s="47" t="str">
        <x:v>Zirconia crown with layered ceramic</x:v>
      </x:c>
      <x:c r="F148" s="47" t="str">
        <x:v>Zirkonoxidkrone mit geschichteter Keramik</x:v>
      </x:c>
      <x:c r="G148" s="48" t="n">
        <x:v>330</x:v>
      </x:c>
      <x:c r="H148" s="46" t="str">
        <x:v>Yes</x:v>
      </x:c>
      <x:c r="I148" s="47" t="str">
        <x:v>Whole tooth</x:v>
      </x:c>
      <x:c r="J148" s="47" t="str">
        <x:v>Single tooth</x:v>
      </x:c>
      <x:c r="K148" s="47" t="str">
        <x:v>crown</x:v>
      </x:c>
      <x:c r="L148" s="47" t="str">
        <x:v>crown</x:v>
      </x:c>
      <x:c r="M148" s="47" t="str">
        <x:v>Zirconia</x:v>
      </x:c>
      <x:c r="N148" s="66" t="str">
        <x:v>#2E9D63</x:v>
      </x:c>
      <x:c r="O148" s="51" t="str">
        <x:v>Needs review</x:v>
      </x:c>
      <x:c r="P148" s="50" t="str">
        <x:v>High</x:v>
      </x:c>
      <x:c r="Q148" s="47" t="str">
        <x:v>Crown/veneer keyword</x:v>
      </x:c>
      <x:c r="R148" s="47" t="str">
        <x:v>The legacy abbreviation πλ. should be confirmed</x:v>
      </x:c>
      <x:c r="S148" s="52" t="str">
        <x:v>Yes</x:v>
      </x:c>
      <x:c r="T148" s="46" t="str"/>
      <x:c r="U148" s="47" t="str"/>
      <x:c r="V148" s="46" t="str">
        <x:v>d73582de38e6cfd</x:v>
      </x:c>
    </x:row>
    <x:row r="149">
      <x:c r="A149" s="46" t="str">
        <x:v>5</x:v>
      </x:c>
      <x:c r="B149" s="46" t="str">
        <x:v>86125</x:v>
      </x:c>
      <x:c r="C149" s="46" t="str">
        <x:v>Ακίνητη Προσθετική</x:v>
      </x:c>
      <x:c r="D149" s="47" t="str">
        <x:v>Στεφάνη μεταλλοακρυλική</x:v>
      </x:c>
      <x:c r="E149" s="47" t="str">
        <x:v>Crown metal-acrylic</x:v>
      </x:c>
      <x:c r="F149" s="47" t="str">
        <x:v>Krone metallakryl</x:v>
      </x:c>
      <x:c r="G149" s="48" t="n">
        <x:v>140</x:v>
      </x:c>
      <x:c r="H149" s="46" t="str">
        <x:v>Yes</x:v>
      </x:c>
      <x:c r="I149" s="47" t="str">
        <x:v>Whole tooth</x:v>
      </x:c>
      <x:c r="J149" s="47" t="str">
        <x:v>Single tooth</x:v>
      </x:c>
      <x:c r="K149" s="47" t="str">
        <x:v>crown</x:v>
      </x:c>
      <x:c r="L149" s="47" t="str">
        <x:v>crown</x:v>
      </x:c>
      <x:c r="M149" s="47" t="str">
        <x:v>Acrylic</x:v>
      </x:c>
      <x:c r="N149" s="66" t="str">
        <x:v>#2E9D63</x:v>
      </x:c>
      <x:c r="O149" s="55" t="str">
        <x:v>Medium</x:v>
      </x:c>
      <x:c r="P149" s="50" t="str">
        <x:v>High</x:v>
      </x:c>
      <x:c r="Q149" s="47" t="str">
        <x:v>Crown/veneer keyword</x:v>
      </x:c>
      <x:c r="R149" s="47" t="str">
        <x:v>Phrase-based clinical draft; language review recommended</x:v>
      </x:c>
      <x:c r="S149" s="56" t="str">
        <x:v>No</x:v>
      </x:c>
      <x:c r="T149" s="46" t="str"/>
      <x:c r="U149" s="47" t="str"/>
      <x:c r="V149" s="46" t="str">
        <x:v>dc345718682403c</x:v>
      </x:c>
    </x:row>
    <x:row r="150">
      <x:c r="A150" s="46" t="str">
        <x:v>5</x:v>
      </x:c>
      <x:c r="B150" s="46" t="str">
        <x:v>4927</x:v>
      </x:c>
      <x:c r="C150" s="46" t="str">
        <x:v>Ακίνητη Προσθετική</x:v>
      </x:c>
      <x:c r="D150" s="47" t="str">
        <x:v>Στεφάνη μεταλλοκεραμική</x:v>
      </x:c>
      <x:c r="E150" s="47" t="str">
        <x:v>Crown metal-ceramic</x:v>
      </x:c>
      <x:c r="F150" s="47" t="str">
        <x:v>Krone metallkeramisch</x:v>
      </x:c>
      <x:c r="G150" s="48" t="n">
        <x:v>250</x:v>
      </x:c>
      <x:c r="H150" s="46" t="str">
        <x:v>Yes</x:v>
      </x:c>
      <x:c r="I150" s="47" t="str">
        <x:v>Whole tooth</x:v>
      </x:c>
      <x:c r="J150" s="47" t="str">
        <x:v>Single tooth</x:v>
      </x:c>
      <x:c r="K150" s="47" t="str">
        <x:v>crown</x:v>
      </x:c>
      <x:c r="L150" s="47" t="str">
        <x:v>crown</x:v>
      </x:c>
      <x:c r="M150" s="47" t="str">
        <x:v>Metal-ceramic</x:v>
      </x:c>
      <x:c r="N150" s="66" t="str">
        <x:v>#2E9D63</x:v>
      </x:c>
      <x:c r="O150" s="55" t="str">
        <x:v>Medium</x:v>
      </x:c>
      <x:c r="P150" s="50" t="str">
        <x:v>High</x:v>
      </x:c>
      <x:c r="Q150" s="47" t="str">
        <x:v>Crown/veneer keyword</x:v>
      </x:c>
      <x:c r="R150" s="47" t="str">
        <x:v>Phrase-based clinical draft; language review recommended</x:v>
      </x:c>
      <x:c r="S150" s="56" t="str">
        <x:v>No</x:v>
      </x:c>
      <x:c r="T150" s="46" t="str"/>
      <x:c r="U150" s="47" t="str"/>
      <x:c r="V150" s="46" t="str">
        <x:v>d341e4e9b9f344e</x:v>
      </x:c>
    </x:row>
    <x:row r="151">
      <x:c r="A151" s="46" t="str">
        <x:v>5</x:v>
      </x:c>
      <x:c r="B151" s="46" t="str">
        <x:v>4929</x:v>
      </x:c>
      <x:c r="C151" s="46" t="str">
        <x:v>Ακίνητη Προσθετική</x:v>
      </x:c>
      <x:c r="D151" s="47" t="str">
        <x:v>Στεφάνη ολική χυτή</x:v>
      </x:c>
      <x:c r="E151" s="47" t="str">
        <x:v>Full-cast crown</x:v>
      </x:c>
      <x:c r="F151" s="47" t="str">
        <x:v>Vollgusskrone</x:v>
      </x:c>
      <x:c r="G151" s="48" t="n">
        <x:v>0</x:v>
      </x:c>
      <x:c r="H151" s="46" t="str">
        <x:v>Unknown</x:v>
      </x:c>
      <x:c r="I151" s="47" t="str">
        <x:v>Whole tooth</x:v>
      </x:c>
      <x:c r="J151" s="47" t="str">
        <x:v>Single tooth</x:v>
      </x:c>
      <x:c r="K151" s="47" t="str">
        <x:v>crown</x:v>
      </x:c>
      <x:c r="L151" s="47" t="str">
        <x:v>crown</x:v>
      </x:c>
      <x:c r="M151" s="47" t="str">
        <x:v>Cast metal</x:v>
      </x:c>
      <x:c r="N151" s="66" t="str">
        <x:v>#2E9D63</x:v>
      </x:c>
      <x:c r="O151" s="50" t="str">
        <x:v>High</x:v>
      </x:c>
      <x:c r="P151" s="50" t="str">
        <x:v>High</x:v>
      </x:c>
      <x:c r="Q151" s="47" t="str">
        <x:v>Crown/veneer keyword</x:v>
      </x:c>
      <x:c r="R151" s="47" t="str">
        <x:v>Exact catalogue translation</x:v>
      </x:c>
      <x:c r="S151" s="56" t="str">
        <x:v>No</x:v>
      </x:c>
      <x:c r="T151" s="46" t="str"/>
      <x:c r="U151" s="47" t="str"/>
      <x:c r="V151" s="46" t="str">
        <x:v>d12149c28346759</x:v>
      </x:c>
    </x:row>
    <x:row r="152">
      <x:c r="A152" s="46" t="str">
        <x:v>5</x:v>
      </x:c>
      <x:c r="B152" s="46" t="str">
        <x:v>5052</x:v>
      </x:c>
      <x:c r="C152" s="46" t="str">
        <x:v>Ακίνητη Προσθετική</x:v>
      </x:c>
      <x:c r="D152" s="47" t="str">
        <x:v>ΣΤΕΦΑΝΗ ΟΛΟΚΕΡΑΜΙΚΗ</x:v>
      </x:c>
      <x:c r="E152" s="47" t="str">
        <x:v>All-ceramic crown</x:v>
      </x:c>
      <x:c r="F152" s="47" t="str">
        <x:v>Vollkeramikkrone</x:v>
      </x:c>
      <x:c r="G152" s="48" t="n">
        <x:v>280</x:v>
      </x:c>
      <x:c r="H152" s="46" t="str">
        <x:v>Unknown</x:v>
      </x:c>
      <x:c r="I152" s="47" t="str">
        <x:v>Whole tooth</x:v>
      </x:c>
      <x:c r="J152" s="47" t="str">
        <x:v>Single tooth</x:v>
      </x:c>
      <x:c r="K152" s="47" t="str">
        <x:v>crown</x:v>
      </x:c>
      <x:c r="L152" s="47" t="str">
        <x:v>crown</x:v>
      </x:c>
      <x:c r="M152" s="47" t="str">
        <x:v>Ceramic</x:v>
      </x:c>
      <x:c r="N152" s="66" t="str">
        <x:v>#2E9D63</x:v>
      </x:c>
      <x:c r="O152" s="50" t="str">
        <x:v>High</x:v>
      </x:c>
      <x:c r="P152" s="50" t="str">
        <x:v>High</x:v>
      </x:c>
      <x:c r="Q152" s="47" t="str">
        <x:v>Crown/veneer keyword</x:v>
      </x:c>
      <x:c r="R152" s="47" t="str">
        <x:v>Exact catalogue translation</x:v>
      </x:c>
      <x:c r="S152" s="56" t="str">
        <x:v>No</x:v>
      </x:c>
      <x:c r="T152" s="46" t="str"/>
      <x:c r="U152" s="47" t="str"/>
      <x:c r="V152" s="46" t="str">
        <x:v>d766f6fee7e8755</x:v>
      </x:c>
    </x:row>
    <x:row r="153">
      <x:c r="A153" s="46" t="str">
        <x:v>5</x:v>
      </x:c>
      <x:c r="B153" s="46" t="str">
        <x:v>86179</x:v>
      </x:c>
      <x:c r="C153" s="46" t="str">
        <x:v>Ακίνητη Προσθετική</x:v>
      </x:c>
      <x:c r="D153" s="47" t="str">
        <x:v>Στεφάνη ολοκεραμική</x:v>
      </x:c>
      <x:c r="E153" s="47" t="str">
        <x:v>All-ceramic crown</x:v>
      </x:c>
      <x:c r="F153" s="47" t="str">
        <x:v>Vollkeramikkrone</x:v>
      </x:c>
      <x:c r="G153" s="48" t="n">
        <x:v>350</x:v>
      </x:c>
      <x:c r="H153" s="46" t="str">
        <x:v>Yes</x:v>
      </x:c>
      <x:c r="I153" s="47" t="str">
        <x:v>Whole tooth</x:v>
      </x:c>
      <x:c r="J153" s="47" t="str">
        <x:v>Single tooth</x:v>
      </x:c>
      <x:c r="K153" s="47" t="str">
        <x:v>crown</x:v>
      </x:c>
      <x:c r="L153" s="47" t="str">
        <x:v>crown</x:v>
      </x:c>
      <x:c r="M153" s="47" t="str">
        <x:v>Ceramic</x:v>
      </x:c>
      <x:c r="N153" s="66" t="str">
        <x:v>#2E9D63</x:v>
      </x:c>
      <x:c r="O153" s="50" t="str">
        <x:v>High</x:v>
      </x:c>
      <x:c r="P153" s="50" t="str">
        <x:v>High</x:v>
      </x:c>
      <x:c r="Q153" s="47" t="str">
        <x:v>Crown/veneer keyword</x:v>
      </x:c>
      <x:c r="R153" s="47" t="str">
        <x:v>Exact catalogue translation</x:v>
      </x:c>
      <x:c r="S153" s="56" t="str">
        <x:v>No</x:v>
      </x:c>
      <x:c r="T153" s="46" t="str"/>
      <x:c r="U153" s="47" t="str"/>
      <x:c r="V153" s="46" t="str">
        <x:v>d3b60ae17e7dc19</x:v>
      </x:c>
    </x:row>
    <x:row r="154">
      <x:c r="A154" s="46" t="str">
        <x:v>5</x:v>
      </x:c>
      <x:c r="B154" s="46" t="str">
        <x:v>86169</x:v>
      </x:c>
      <x:c r="C154" s="46" t="str">
        <x:v>Ακίνητη Προσθετική</x:v>
      </x:c>
      <x:c r="D154" s="47" t="str">
        <x:v>Συγκόλληση άξονα</x:v>
      </x:c>
      <x:c r="E154" s="47" t="str">
        <x:v>Post cementation</x:v>
      </x:c>
      <x:c r="F154" s="47" t="str">
        <x:v>Stiftzementierung</x:v>
      </x:c>
      <x:c r="G154" s="48" t="n">
        <x:v>0</x:v>
      </x:c>
      <x:c r="H154" s="46" t="str">
        <x:v>Unknown</x:v>
      </x:c>
      <x:c r="I154" s="47" t="str">
        <x:v>Whole tooth</x:v>
      </x:c>
      <x:c r="J154" s="47" t="str">
        <x:v>Single tooth</x:v>
      </x:c>
      <x:c r="K154" s="47" t="str">
        <x:v>none</x:v>
      </x:c>
      <x:c r="L154" s="47" t="str">
        <x:v>fixed-prosthetic</x:v>
      </x:c>
      <x:c r="M154" s="47" t="str">
        <x:v>Not specified</x:v>
      </x:c>
      <x:c r="N154" s="66" t="str">
        <x:v>#2E9D63</x:v>
      </x:c>
      <x:c r="O154" s="50" t="str">
        <x:v>High</x:v>
      </x:c>
      <x:c r="P154" s="55" t="str">
        <x:v>Medium</x:v>
      </x:c>
      <x:c r="Q154" s="47" t="str">
        <x:v>Fixed-prosthodontic group fallback</x:v>
      </x:c>
      <x:c r="R154" s="47" t="str">
        <x:v>Exact catalogue translation</x:v>
      </x:c>
      <x:c r="S154" s="52" t="str">
        <x:v>Yes</x:v>
      </x:c>
      <x:c r="T154" s="46" t="str"/>
      <x:c r="U154" s="47" t="str"/>
      <x:c r="V154" s="46" t="str">
        <x:v>d7a59ca89a598f5</x:v>
      </x:c>
    </x:row>
    <x:row r="155">
      <x:c r="A155" s="46" t="str">
        <x:v>5</x:v>
      </x:c>
      <x:c r="B155" s="46" t="str">
        <x:v>86153</x:v>
      </x:c>
      <x:c r="C155" s="46" t="str">
        <x:v>Ακίνητη Προσθετική</x:v>
      </x:c>
      <x:c r="D155" s="47" t="str">
        <x:v>Συγκόλληση με Variolink</x:v>
      </x:c>
      <x:c r="E155" s="47" t="str">
        <x:v>Cementation with Variolink</x:v>
      </x:c>
      <x:c r="F155" s="47" t="str">
        <x:v>Zementierung mit Variolink</x:v>
      </x:c>
      <x:c r="G155" s="48" t="n">
        <x:v>0</x:v>
      </x:c>
      <x:c r="H155" s="46" t="str">
        <x:v>No</x:v>
      </x:c>
      <x:c r="I155" s="47" t="str">
        <x:v>Whole tooth</x:v>
      </x:c>
      <x:c r="J155" s="47" t="str">
        <x:v>Single tooth</x:v>
      </x:c>
      <x:c r="K155" s="47" t="str">
        <x:v>none</x:v>
      </x:c>
      <x:c r="L155" s="47" t="str">
        <x:v>fixed-prosthetic</x:v>
      </x:c>
      <x:c r="M155" s="47" t="str">
        <x:v>Not specified</x:v>
      </x:c>
      <x:c r="N155" s="66" t="str">
        <x:v>#2E9D63</x:v>
      </x:c>
      <x:c r="O155" s="50" t="str">
        <x:v>High</x:v>
      </x:c>
      <x:c r="P155" s="55" t="str">
        <x:v>Medium</x:v>
      </x:c>
      <x:c r="Q155" s="47" t="str">
        <x:v>Fixed-prosthodontic group fallback; source toothRequired=false conflicts with suggested target</x:v>
      </x:c>
      <x:c r="R155" s="47" t="str">
        <x:v>Exact catalogue translation</x:v>
      </x:c>
      <x:c r="S155" s="52" t="str">
        <x:v>Yes</x:v>
      </x:c>
      <x:c r="T155" s="46" t="str"/>
      <x:c r="U155" s="47" t="str"/>
      <x:c r="V155" s="46" t="str">
        <x:v>dcc19b3f63ce918</x:v>
      </x:c>
    </x:row>
    <x:row r="156">
      <x:c r="A156" s="46" t="str">
        <x:v>5</x:v>
      </x:c>
      <x:c r="B156" s="46" t="str">
        <x:v>86188</x:v>
      </x:c>
      <x:c r="C156" s="46" t="str">
        <x:v>Ακίνητη Προσθετική</x:v>
      </x:c>
      <x:c r="D156" s="47" t="str">
        <x:v>Συγκόλληση με Variolink Esthetic</x:v>
      </x:c>
      <x:c r="E156" s="47" t="str">
        <x:v>Cementation with Variolink Esthetic</x:v>
      </x:c>
      <x:c r="F156" s="47" t="str">
        <x:v>Zementierung mit Variolink Esthetic</x:v>
      </x:c>
      <x:c r="G156" s="48" t="n">
        <x:v>0</x:v>
      </x:c>
      <x:c r="H156" s="46" t="str">
        <x:v>Unknown</x:v>
      </x:c>
      <x:c r="I156" s="47" t="str">
        <x:v>Whole tooth</x:v>
      </x:c>
      <x:c r="J156" s="47" t="str">
        <x:v>Single tooth</x:v>
      </x:c>
      <x:c r="K156" s="47" t="str">
        <x:v>none</x:v>
      </x:c>
      <x:c r="L156" s="47" t="str">
        <x:v>fixed-prosthetic</x:v>
      </x:c>
      <x:c r="M156" s="47" t="str">
        <x:v>Not specified</x:v>
      </x:c>
      <x:c r="N156" s="66" t="str">
        <x:v>#2E9D63</x:v>
      </x:c>
      <x:c r="O156" s="50" t="str">
        <x:v>High</x:v>
      </x:c>
      <x:c r="P156" s="55" t="str">
        <x:v>Medium</x:v>
      </x:c>
      <x:c r="Q156" s="47" t="str">
        <x:v>Fixed-prosthodontic group fallback</x:v>
      </x:c>
      <x:c r="R156" s="47" t="str">
        <x:v>Exact catalogue translation</x:v>
      </x:c>
      <x:c r="S156" s="52" t="str">
        <x:v>Yes</x:v>
      </x:c>
      <x:c r="T156" s="46" t="str"/>
      <x:c r="U156" s="47" t="str"/>
      <x:c r="V156" s="46" t="str">
        <x:v>d0c6315eb35edfb</x:v>
      </x:c>
    </x:row>
    <x:row r="157">
      <x:c r="A157" s="46" t="str">
        <x:v>5</x:v>
      </x:c>
      <x:c r="B157" s="46" t="str">
        <x:v>86211</x:v>
      </x:c>
      <x:c r="C157" s="46" t="str">
        <x:v>Ακίνητη Προσθετική</x:v>
      </x:c>
      <x:c r="D157" s="47" t="str">
        <x:v>Συγκόλληση προσωρινή με κονία διπλ. πολυμ.</x:v>
      </x:c>
      <x:c r="E157" s="47" t="str">
        <x:v>Temporary cementation with dual-cure cement</x:v>
      </x:c>
      <x:c r="F157" s="47" t="str">
        <x:v>Provisorische Zementierung mit dualhärtendem Zement</x:v>
      </x:c>
      <x:c r="G157" s="48" t="n">
        <x:v>0</x:v>
      </x:c>
      <x:c r="H157" s="46" t="str">
        <x:v>Unknown</x:v>
      </x:c>
      <x:c r="I157" s="47" t="str">
        <x:v>Whole tooth</x:v>
      </x:c>
      <x:c r="J157" s="47" t="str">
        <x:v>Single tooth</x:v>
      </x:c>
      <x:c r="K157" s="47" t="str">
        <x:v>none</x:v>
      </x:c>
      <x:c r="L157" s="47" t="str">
        <x:v>fixed-prosthetic</x:v>
      </x:c>
      <x:c r="M157" s="47" t="str">
        <x:v>Not specified</x:v>
      </x:c>
      <x:c r="N157" s="66" t="str">
        <x:v>#2E9D63</x:v>
      </x:c>
      <x:c r="O157" s="51" t="str">
        <x:v>Needs review</x:v>
      </x:c>
      <x:c r="P157" s="55" t="str">
        <x:v>Medium</x:v>
      </x:c>
      <x:c r="Q157" s="47" t="str">
        <x:v>Fixed-prosthodontic group fallback</x:v>
      </x:c>
      <x:c r="R157" s="47" t="str">
        <x:v>Legacy abbreviation for curing mode should be confirmed</x:v>
      </x:c>
      <x:c r="S157" s="52" t="str">
        <x:v>Yes</x:v>
      </x:c>
      <x:c r="T157" s="46" t="str"/>
      <x:c r="U157" s="47" t="str"/>
      <x:c r="V157" s="46" t="str">
        <x:v>d4d9c1217569bba</x:v>
      </x:c>
    </x:row>
    <x:row r="158">
      <x:c r="A158" s="46" t="str">
        <x:v>5</x:v>
      </x:c>
      <x:c r="B158" s="46" t="str">
        <x:v>86123</x:v>
      </x:c>
      <x:c r="C158" s="46" t="str">
        <x:v>Ακίνητη Προσθετική</x:v>
      </x:c>
      <x:c r="D158" s="47" t="str">
        <x:v>Συγκόλληση προσωρινή με ZnO-Eu</x:v>
      </x:c>
      <x:c r="E158" s="47" t="str">
        <x:v>Temporary cementation with ZnO-Eu</x:v>
      </x:c>
      <x:c r="F158" s="47" t="str">
        <x:v>Provisorische Zementierung mit ZnO-Eu</x:v>
      </x:c>
      <x:c r="G158" s="48" t="n">
        <x:v>0</x:v>
      </x:c>
      <x:c r="H158" s="46" t="str">
        <x:v>Unknown</x:v>
      </x:c>
      <x:c r="I158" s="47" t="str">
        <x:v>Whole tooth</x:v>
      </x:c>
      <x:c r="J158" s="47" t="str">
        <x:v>Single tooth</x:v>
      </x:c>
      <x:c r="K158" s="47" t="str">
        <x:v>none</x:v>
      </x:c>
      <x:c r="L158" s="47" t="str">
        <x:v>fixed-prosthetic</x:v>
      </x:c>
      <x:c r="M158" s="47" t="str">
        <x:v>Zinc oxide-eugenol</x:v>
      </x:c>
      <x:c r="N158" s="66" t="str">
        <x:v>#2E9D63</x:v>
      </x:c>
      <x:c r="O158" s="55" t="str">
        <x:v>Medium</x:v>
      </x:c>
      <x:c r="P158" s="55" t="str">
        <x:v>Medium</x:v>
      </x:c>
      <x:c r="Q158" s="47" t="str">
        <x:v>Fixed-prosthodontic group fallback</x:v>
      </x:c>
      <x:c r="R158" s="47" t="str">
        <x:v>Phrase-based clinical draft; language review recommended</x:v>
      </x:c>
      <x:c r="S158" s="52" t="str">
        <x:v>Yes</x:v>
      </x:c>
      <x:c r="T158" s="46" t="str"/>
      <x:c r="U158" s="47" t="str"/>
      <x:c r="V158" s="46" t="str">
        <x:v>d22fee42a72f6d9</x:v>
      </x:c>
    </x:row>
    <x:row r="159">
      <x:c r="A159" s="46" t="str">
        <x:v>5</x:v>
      </x:c>
      <x:c r="B159" s="46" t="str">
        <x:v>86124</x:v>
      </x:c>
      <x:c r="C159" s="46" t="str">
        <x:v>Ακίνητη Προσθετική</x:v>
      </x:c>
      <x:c r="D159" s="47" t="str">
        <x:v>Συγκόλληση προσωρινή με ZnO-Eu + Iodoform</x:v>
      </x:c>
      <x:c r="E159" s="47" t="str">
        <x:v>Temporary cementation with ZnO-Eu + Iodoform</x:v>
      </x:c>
      <x:c r="F159" s="47" t="str">
        <x:v>Provisorische Zementierung mit ZnO-Eu + Iodoform</x:v>
      </x:c>
      <x:c r="G159" s="48" t="n">
        <x:v>0</x:v>
      </x:c>
      <x:c r="H159" s="46" t="str">
        <x:v>Unknown</x:v>
      </x:c>
      <x:c r="I159" s="47" t="str">
        <x:v>Whole tooth</x:v>
      </x:c>
      <x:c r="J159" s="47" t="str">
        <x:v>Single tooth</x:v>
      </x:c>
      <x:c r="K159" s="47" t="str">
        <x:v>none</x:v>
      </x:c>
      <x:c r="L159" s="47" t="str">
        <x:v>fixed-prosthetic</x:v>
      </x:c>
      <x:c r="M159" s="47" t="str">
        <x:v>Zinc oxide-eugenol</x:v>
      </x:c>
      <x:c r="N159" s="66" t="str">
        <x:v>#2E9D63</x:v>
      </x:c>
      <x:c r="O159" s="55" t="str">
        <x:v>Medium</x:v>
      </x:c>
      <x:c r="P159" s="55" t="str">
        <x:v>Medium</x:v>
      </x:c>
      <x:c r="Q159" s="47" t="str">
        <x:v>Fixed-prosthodontic group fallback</x:v>
      </x:c>
      <x:c r="R159" s="47" t="str">
        <x:v>Phrase-based clinical draft; language review recommended</x:v>
      </x:c>
      <x:c r="S159" s="52" t="str">
        <x:v>Yes</x:v>
      </x:c>
      <x:c r="T159" s="46" t="str"/>
      <x:c r="U159" s="47" t="str"/>
      <x:c r="V159" s="46" t="str">
        <x:v>de80012a5dca091</x:v>
      </x:c>
    </x:row>
    <x:row r="160">
      <x:c r="A160" s="46" t="str">
        <x:v>5</x:v>
      </x:c>
      <x:c r="B160" s="46" t="str">
        <x:v>86096</x:v>
      </x:c>
      <x:c r="C160" s="46" t="str">
        <x:v>Ακίνητη Προσθετική</x:v>
      </x:c>
      <x:c r="D160" s="47" t="str">
        <x:v>Συγκόλληση στεφάνης/γέφυρας με οξυφωσφορική κονία</x:v>
      </x:c>
      <x:c r="E160" s="47" t="str">
        <x:v>Cementation of crown/bridge with zinc-phosphate cement</x:v>
      </x:c>
      <x:c r="F160" s="47" t="str">
        <x:v>Zementierung von Krone/Brücke mit Zinkphosphatzement</x:v>
      </x:c>
      <x:c r="G160" s="48" t="n">
        <x:v>0</x:v>
      </x:c>
      <x:c r="H160" s="46" t="str">
        <x:v>No</x:v>
      </x:c>
      <x:c r="I160" s="47" t="str">
        <x:v>Bridge</x:v>
      </x:c>
      <x:c r="J160" s="47" t="str">
        <x:v>Multi-tooth bridge units</x:v>
      </x:c>
      <x:c r="K160" s="47" t="str">
        <x:v>bridge</x:v>
      </x:c>
      <x:c r="L160" s="47" t="str">
        <x:v>bridge</x:v>
      </x:c>
      <x:c r="M160" s="47" t="str">
        <x:v>Not specified</x:v>
      </x:c>
      <x:c r="N160" s="66" t="str">
        <x:v>#2E9D63</x:v>
      </x:c>
      <x:c r="O160" s="50" t="str">
        <x:v>High</x:v>
      </x:c>
      <x:c r="P160" s="55" t="str">
        <x:v>Medium</x:v>
      </x:c>
      <x:c r="Q160" s="47" t="str">
        <x:v>Bridge/pontic keyword; source toothRequired=false conflicts with suggested target</x:v>
      </x:c>
      <x:c r="R160" s="47" t="str">
        <x:v>Exact catalogue translation</x:v>
      </x:c>
      <x:c r="S160" s="52" t="str">
        <x:v>Yes</x:v>
      </x:c>
      <x:c r="T160" s="46" t="str"/>
      <x:c r="U160" s="47" t="str"/>
      <x:c r="V160" s="46" t="str">
        <x:v>d91577b1bf36b10</x:v>
      </x:c>
    </x:row>
    <x:row r="161">
      <x:c r="A161" s="46" t="str">
        <x:v>5</x:v>
      </x:c>
      <x:c r="B161" s="46" t="str">
        <x:v>86167</x:v>
      </x:c>
      <x:c r="C161" s="46" t="str">
        <x:v>Ακίνητη Προσθετική</x:v>
      </x:c>
      <x:c r="D161" s="47" t="str">
        <x:v>Συγκόλληση στεφάνης/γέφυρας με ρητινώδη κονία</x:v>
      </x:c>
      <x:c r="E161" s="47" t="str">
        <x:v>Cementation of crown/bridge with resin cement</x:v>
      </x:c>
      <x:c r="F161" s="47" t="str">
        <x:v>Zementierung von Krone/Brücke mit Kompositzement</x:v>
      </x:c>
      <x:c r="G161" s="48" t="n">
        <x:v>0</x:v>
      </x:c>
      <x:c r="H161" s="46" t="str">
        <x:v>No</x:v>
      </x:c>
      <x:c r="I161" s="47" t="str">
        <x:v>Bridge</x:v>
      </x:c>
      <x:c r="J161" s="47" t="str">
        <x:v>Multi-tooth bridge units</x:v>
      </x:c>
      <x:c r="K161" s="47" t="str">
        <x:v>bridge</x:v>
      </x:c>
      <x:c r="L161" s="47" t="str">
        <x:v>bridge</x:v>
      </x:c>
      <x:c r="M161" s="47" t="str">
        <x:v>Composite resin</x:v>
      </x:c>
      <x:c r="N161" s="66" t="str">
        <x:v>#2E9D63</x:v>
      </x:c>
      <x:c r="O161" s="50" t="str">
        <x:v>High</x:v>
      </x:c>
      <x:c r="P161" s="55" t="str">
        <x:v>Medium</x:v>
      </x:c>
      <x:c r="Q161" s="47" t="str">
        <x:v>Bridge/pontic keyword; source toothRequired=false conflicts with suggested target</x:v>
      </x:c>
      <x:c r="R161" s="47" t="str">
        <x:v>Exact catalogue translation</x:v>
      </x:c>
      <x:c r="S161" s="52" t="str">
        <x:v>Yes</x:v>
      </x:c>
      <x:c r="T161" s="46" t="str"/>
      <x:c r="U161" s="47" t="str"/>
      <x:c r="V161" s="46" t="str">
        <x:v>da32bd5a8edaa8f</x:v>
      </x:c>
    </x:row>
    <x:row r="162">
      <x:c r="A162" s="46" t="str">
        <x:v>5</x:v>
      </x:c>
      <x:c r="B162" s="46" t="str">
        <x:v>86194</x:v>
      </x:c>
      <x:c r="C162" s="46" t="str">
        <x:v>Ακίνητη Προσθετική</x:v>
      </x:c>
      <x:c r="D162" s="47" t="str">
        <x:v>Συγκόλληση στεφάνης/γέφυρας με υαλοϊονομερή κονία</x:v>
      </x:c>
      <x:c r="E162" s="47" t="str">
        <x:v>Cementation of crown/bridge with glass-ionomer cement</x:v>
      </x:c>
      <x:c r="F162" s="47" t="str">
        <x:v>Zementierung von Krone/Brücke mit Glasionomerzement</x:v>
      </x:c>
      <x:c r="G162" s="48" t="n">
        <x:v>0</x:v>
      </x:c>
      <x:c r="H162" s="46" t="str">
        <x:v>Unknown</x:v>
      </x:c>
      <x:c r="I162" s="47" t="str">
        <x:v>Bridge</x:v>
      </x:c>
      <x:c r="J162" s="47" t="str">
        <x:v>Multi-tooth bridge units</x:v>
      </x:c>
      <x:c r="K162" s="47" t="str">
        <x:v>bridge</x:v>
      </x:c>
      <x:c r="L162" s="47" t="str">
        <x:v>bridge</x:v>
      </x:c>
      <x:c r="M162" s="47" t="str">
        <x:v>Glass ionomer</x:v>
      </x:c>
      <x:c r="N162" s="66" t="str">
        <x:v>#2E9D63</x:v>
      </x:c>
      <x:c r="O162" s="50" t="str">
        <x:v>High</x:v>
      </x:c>
      <x:c r="P162" s="50" t="str">
        <x:v>High</x:v>
      </x:c>
      <x:c r="Q162" s="47" t="str">
        <x:v>Bridge/pontic keyword</x:v>
      </x:c>
      <x:c r="R162" s="47" t="str">
        <x:v>Exact catalogue translation</x:v>
      </x:c>
      <x:c r="S162" s="56" t="str">
        <x:v>No</x:v>
      </x:c>
      <x:c r="T162" s="46" t="str"/>
      <x:c r="U162" s="47" t="str"/>
      <x:c r="V162" s="46" t="str">
        <x:v>d862b06d5559fcd</x:v>
      </x:c>
    </x:row>
    <x:row r="163">
      <x:c r="A163" s="46" t="str">
        <x:v>5</x:v>
      </x:c>
      <x:c r="B163" s="46" t="str">
        <x:v>86095</x:v>
      </x:c>
      <x:c r="C163" s="46" t="str">
        <x:v>Ακίνητη Προσθετική</x:v>
      </x:c>
      <x:c r="D163" s="47" t="str">
        <x:v>Συγκόλληση στεφάνης/γέφυρας με Durelon</x:v>
      </x:c>
      <x:c r="E163" s="47" t="str">
        <x:v>Cementation of crown/bridge with Durelon</x:v>
      </x:c>
      <x:c r="F163" s="47" t="str">
        <x:v>Zementierung von Krone/Brücke mit Durelon</x:v>
      </x:c>
      <x:c r="G163" s="48" t="n">
        <x:v>0</x:v>
      </x:c>
      <x:c r="H163" s="46" t="str">
        <x:v>No</x:v>
      </x:c>
      <x:c r="I163" s="47" t="str">
        <x:v>Bridge</x:v>
      </x:c>
      <x:c r="J163" s="47" t="str">
        <x:v>Multi-tooth bridge units</x:v>
      </x:c>
      <x:c r="K163" s="47" t="str">
        <x:v>bridge</x:v>
      </x:c>
      <x:c r="L163" s="47" t="str">
        <x:v>bridge</x:v>
      </x:c>
      <x:c r="M163" s="47" t="str">
        <x:v>Not specified</x:v>
      </x:c>
      <x:c r="N163" s="66" t="str">
        <x:v>#2E9D63</x:v>
      </x:c>
      <x:c r="O163" s="55" t="str">
        <x:v>Medium</x:v>
      </x:c>
      <x:c r="P163" s="55" t="str">
        <x:v>Medium</x:v>
      </x:c>
      <x:c r="Q163" s="47" t="str">
        <x:v>Bridge/pontic keyword; source toothRequired=false conflicts with suggested target</x:v>
      </x:c>
      <x:c r="R163" s="47" t="str">
        <x:v>Phrase-based clinical draft; language review recommended</x:v>
      </x:c>
      <x:c r="S163" s="52" t="str">
        <x:v>Yes</x:v>
      </x:c>
      <x:c r="T163" s="46" t="str"/>
      <x:c r="U163" s="47" t="str"/>
      <x:c r="V163" s="46" t="str">
        <x:v>d0ba08fafbb1f4e</x:v>
      </x:c>
    </x:row>
    <x:row r="164">
      <x:c r="A164" s="46" t="str">
        <x:v>5</x:v>
      </x:c>
      <x:c r="B164" s="46" t="str">
        <x:v>86097</x:v>
      </x:c>
      <x:c r="C164" s="46" t="str">
        <x:v>Ακίνητη Προσθετική</x:v>
      </x:c>
      <x:c r="D164" s="47" t="str">
        <x:v>Συγκόλληση στεφάνης/γέφυρας με Panavia f 2.0</x:v>
      </x:c>
      <x:c r="E164" s="47" t="str">
        <x:v>Cementation of crown/bridge with Panavia f 2.0</x:v>
      </x:c>
      <x:c r="F164" s="47" t="str">
        <x:v>Zementierung von Krone/Brücke mit Panavia f 2.0</x:v>
      </x:c>
      <x:c r="G164" s="48" t="n">
        <x:v>0</x:v>
      </x:c>
      <x:c r="H164" s="46" t="str">
        <x:v>No</x:v>
      </x:c>
      <x:c r="I164" s="47" t="str">
        <x:v>Bridge</x:v>
      </x:c>
      <x:c r="J164" s="47" t="str">
        <x:v>Multi-tooth bridge units</x:v>
      </x:c>
      <x:c r="K164" s="47" t="str">
        <x:v>bridge</x:v>
      </x:c>
      <x:c r="L164" s="47" t="str">
        <x:v>bridge</x:v>
      </x:c>
      <x:c r="M164" s="47" t="str">
        <x:v>Not specified</x:v>
      </x:c>
      <x:c r="N164" s="66" t="str">
        <x:v>#2E9D63</x:v>
      </x:c>
      <x:c r="O164" s="55" t="str">
        <x:v>Medium</x:v>
      </x:c>
      <x:c r="P164" s="55" t="str">
        <x:v>Medium</x:v>
      </x:c>
      <x:c r="Q164" s="47" t="str">
        <x:v>Bridge/pontic keyword; source toothRequired=false conflicts with suggested target</x:v>
      </x:c>
      <x:c r="R164" s="47" t="str">
        <x:v>Phrase-based clinical draft; language review recommended</x:v>
      </x:c>
      <x:c r="S164" s="52" t="str">
        <x:v>Yes</x:v>
      </x:c>
      <x:c r="T164" s="46" t="str"/>
      <x:c r="U164" s="47" t="str"/>
      <x:c r="V164" s="46" t="str">
        <x:v>dac286ea089b76f</x:v>
      </x:c>
    </x:row>
    <x:row r="165">
      <x:c r="A165" s="46" t="str">
        <x:v>5</x:v>
      </x:c>
      <x:c r="B165" s="46" t="str">
        <x:v>86202</x:v>
      </x:c>
      <x:c r="C165" s="46" t="str">
        <x:v>Ακίνητη Προσθετική</x:v>
      </x:c>
      <x:c r="D165" s="47" t="str">
        <x:v>Σύνδεσμος ακριβείας CEKA</x:v>
      </x:c>
      <x:c r="E165" s="47" t="str">
        <x:v>CEKA precision attachment</x:v>
      </x:c>
      <x:c r="F165" s="47" t="str">
        <x:v>CEKA-Präzisionsgeschiebe</x:v>
      </x:c>
      <x:c r="G165" s="48" t="n">
        <x:v>150</x:v>
      </x:c>
      <x:c r="H165" s="46" t="str">
        <x:v>Yes</x:v>
      </x:c>
      <x:c r="I165" s="47" t="str">
        <x:v>Whole tooth</x:v>
      </x:c>
      <x:c r="J165" s="47" t="str">
        <x:v>Single tooth</x:v>
      </x:c>
      <x:c r="K165" s="47" t="str">
        <x:v>none</x:v>
      </x:c>
      <x:c r="L165" s="47" t="str">
        <x:v>fixed-prosthetic</x:v>
      </x:c>
      <x:c r="M165" s="47" t="str">
        <x:v>Not specified</x:v>
      </x:c>
      <x:c r="N165" s="66" t="str">
        <x:v>#2E9D63</x:v>
      </x:c>
      <x:c r="O165" s="50" t="str">
        <x:v>High</x:v>
      </x:c>
      <x:c r="P165" s="55" t="str">
        <x:v>Medium</x:v>
      </x:c>
      <x:c r="Q165" s="47" t="str">
        <x:v>Fixed-prosthodontic group fallback</x:v>
      </x:c>
      <x:c r="R165" s="47" t="str">
        <x:v>Exact catalogue translation</x:v>
      </x:c>
      <x:c r="S165" s="52" t="str">
        <x:v>Yes</x:v>
      </x:c>
      <x:c r="T165" s="46" t="str"/>
      <x:c r="U165" s="47" t="str"/>
      <x:c r="V165" s="46" t="str">
        <x:v>d7dcc4bdddaf9ec</x:v>
      </x:c>
    </x:row>
    <x:row r="166">
      <x:c r="A166" s="46" t="str">
        <x:v>5</x:v>
      </x:c>
      <x:c r="B166" s="46" t="str">
        <x:v>5056</x:v>
      </x:c>
      <x:c r="C166" s="46" t="str">
        <x:v>Ακίνητη Προσθετική</x:v>
      </x:c>
      <x:c r="D166" s="47" t="str">
        <x:v>ΣΥΝΔΕΣΜΟΣ ΑΚΡΙΒΕΙΑΣ CHEKA</x:v>
      </x:c>
      <x:c r="E166" s="47" t="str">
        <x:v>CEKA precision attachment</x:v>
      </x:c>
      <x:c r="F166" s="47" t="str">
        <x:v>CEKA-Präzisionsgeschiebe</x:v>
      </x:c>
      <x:c r="G166" s="48" t="n">
        <x:v>170</x:v>
      </x:c>
      <x:c r="H166" s="46" t="str">
        <x:v>Unknown</x:v>
      </x:c>
      <x:c r="I166" s="47" t="str">
        <x:v>Whole tooth</x:v>
      </x:c>
      <x:c r="J166" s="47" t="str">
        <x:v>Single tooth</x:v>
      </x:c>
      <x:c r="K166" s="47" t="str">
        <x:v>none</x:v>
      </x:c>
      <x:c r="L166" s="47" t="str">
        <x:v>fixed-prosthetic</x:v>
      </x:c>
      <x:c r="M166" s="47" t="str">
        <x:v>Not specified</x:v>
      </x:c>
      <x:c r="N166" s="66" t="str">
        <x:v>#2E9D63</x:v>
      </x:c>
      <x:c r="O166" s="50" t="str">
        <x:v>High</x:v>
      </x:c>
      <x:c r="P166" s="55" t="str">
        <x:v>Medium</x:v>
      </x:c>
      <x:c r="Q166" s="47" t="str">
        <x:v>Fixed-prosthodontic group fallback</x:v>
      </x:c>
      <x:c r="R166" s="47" t="str">
        <x:v>Exact catalogue translation</x:v>
      </x:c>
      <x:c r="S166" s="52" t="str">
        <x:v>Yes</x:v>
      </x:c>
      <x:c r="T166" s="46" t="str"/>
      <x:c r="U166" s="47" t="str"/>
      <x:c r="V166" s="46" t="str">
        <x:v>df7dba9281cc3ff</x:v>
      </x:c>
    </x:row>
    <x:row r="167">
      <x:c r="A167" s="46" t="str">
        <x:v>5</x:v>
      </x:c>
      <x:c r="B167" s="46" t="str">
        <x:v>86111</x:v>
      </x:c>
      <x:c r="C167" s="46" t="str">
        <x:v>Ακίνητη Προσθετική</x:v>
      </x:c>
      <x:c r="D167" s="47" t="str">
        <x:v>Σύνδεσμος ακριβείας ZL</x:v>
      </x:c>
      <x:c r="E167" s="47" t="str">
        <x:v>ZL precision attachment</x:v>
      </x:c>
      <x:c r="F167" s="47" t="str">
        <x:v>ZL-Präzisionsgeschiebe</x:v>
      </x:c>
      <x:c r="G167" s="48" t="n">
        <x:v>180</x:v>
      </x:c>
      <x:c r="H167" s="46" t="str">
        <x:v>Yes</x:v>
      </x:c>
      <x:c r="I167" s="47" t="str">
        <x:v>Whole tooth</x:v>
      </x:c>
      <x:c r="J167" s="47" t="str">
        <x:v>Single tooth</x:v>
      </x:c>
      <x:c r="K167" s="47" t="str">
        <x:v>none</x:v>
      </x:c>
      <x:c r="L167" s="47" t="str">
        <x:v>fixed-prosthetic</x:v>
      </x:c>
      <x:c r="M167" s="47" t="str">
        <x:v>Not specified</x:v>
      </x:c>
      <x:c r="N167" s="66" t="str">
        <x:v>#2E9D63</x:v>
      </x:c>
      <x:c r="O167" s="50" t="str">
        <x:v>High</x:v>
      </x:c>
      <x:c r="P167" s="55" t="str">
        <x:v>Medium</x:v>
      </x:c>
      <x:c r="Q167" s="47" t="str">
        <x:v>Fixed-prosthodontic group fallback</x:v>
      </x:c>
      <x:c r="R167" s="47" t="str">
        <x:v>Exact catalogue translation</x:v>
      </x:c>
      <x:c r="S167" s="52" t="str">
        <x:v>Yes</x:v>
      </x:c>
      <x:c r="T167" s="46" t="str"/>
      <x:c r="U167" s="47" t="str"/>
      <x:c r="V167" s="46" t="str">
        <x:v>dae731dce62857b</x:v>
      </x:c>
    </x:row>
    <x:row r="168">
      <x:c r="A168" s="46" t="str">
        <x:v>5</x:v>
      </x:c>
      <x:c r="B168" s="46" t="str">
        <x:v>86222</x:v>
      </x:c>
      <x:c r="C168" s="46" t="str">
        <x:v>Ακίνητη Προσθετική</x:v>
      </x:c>
      <x:c r="D168" s="47" t="str">
        <x:v>Σύνδεσμος ημιακριβείας</x:v>
      </x:c>
      <x:c r="E168" s="47" t="str">
        <x:v>Semi-precision attachment</x:v>
      </x:c>
      <x:c r="F168" s="47" t="str">
        <x:v>Semipräzisionsgeschiebe</x:v>
      </x:c>
      <x:c r="G168" s="48" t="n">
        <x:v>150</x:v>
      </x:c>
      <x:c r="H168" s="46" t="str">
        <x:v>Yes</x:v>
      </x:c>
      <x:c r="I168" s="47" t="str">
        <x:v>Whole tooth</x:v>
      </x:c>
      <x:c r="J168" s="47" t="str">
        <x:v>Single tooth</x:v>
      </x:c>
      <x:c r="K168" s="47" t="str">
        <x:v>none</x:v>
      </x:c>
      <x:c r="L168" s="47" t="str">
        <x:v>fixed-prosthetic</x:v>
      </x:c>
      <x:c r="M168" s="47" t="str">
        <x:v>Not specified</x:v>
      </x:c>
      <x:c r="N168" s="66" t="str">
        <x:v>#2E9D63</x:v>
      </x:c>
      <x:c r="O168" s="50" t="str">
        <x:v>High</x:v>
      </x:c>
      <x:c r="P168" s="55" t="str">
        <x:v>Medium</x:v>
      </x:c>
      <x:c r="Q168" s="47" t="str">
        <x:v>Fixed-prosthodontic group fallback</x:v>
      </x:c>
      <x:c r="R168" s="47" t="str">
        <x:v>Exact catalogue translation</x:v>
      </x:c>
      <x:c r="S168" s="52" t="str">
        <x:v>Yes</x:v>
      </x:c>
      <x:c r="T168" s="46" t="str"/>
      <x:c r="U168" s="47" t="str"/>
      <x:c r="V168" s="46" t="str">
        <x:v>dbc9ab781c9b3cb</x:v>
      </x:c>
    </x:row>
    <x:row r="169">
      <x:c r="A169" s="46" t="str">
        <x:v>5</x:v>
      </x:c>
      <x:c r="B169" s="46" t="str">
        <x:v>86218</x:v>
      </x:c>
      <x:c r="C169" s="46" t="str">
        <x:v>Ακίνητη Προσθετική</x:v>
      </x:c>
      <x:c r="D169" s="47" t="str">
        <x:v>Ball Abutment Rhein</x:v>
      </x:c>
      <x:c r="E169" s="47" t="str">
        <x:v>Ball Abutment Rhein</x:v>
      </x:c>
      <x:c r="F169" s="47" t="str">
        <x:v>Ball Abutment Rhein</x:v>
      </x:c>
      <x:c r="G169" s="48" t="n">
        <x:v>0</x:v>
      </x:c>
      <x:c r="H169" s="46" t="str">
        <x:v>Yes</x:v>
      </x:c>
      <x:c r="I169" s="47" t="str">
        <x:v>Whole tooth</x:v>
      </x:c>
      <x:c r="J169" s="47" t="str">
        <x:v>Single tooth</x:v>
      </x:c>
      <x:c r="K169" s="47" t="str">
        <x:v>none</x:v>
      </x:c>
      <x:c r="L169" s="47" t="str">
        <x:v>fixed-prosthetic</x:v>
      </x:c>
      <x:c r="M169" s="47" t="str">
        <x:v>Not specified</x:v>
      </x:c>
      <x:c r="N169" s="66" t="str">
        <x:v>#2E9D63</x:v>
      </x:c>
      <x:c r="O169" s="50" t="str">
        <x:v>High</x:v>
      </x:c>
      <x:c r="P169" s="55" t="str">
        <x:v>Medium</x:v>
      </x:c>
      <x:c r="Q169" s="47" t="str">
        <x:v>Fixed-prosthodontic group fallback</x:v>
      </x:c>
      <x:c r="R169" s="47" t="str">
        <x:v>Existing English/German or trade name preserved</x:v>
      </x:c>
      <x:c r="S169" s="52" t="str">
        <x:v>Yes</x:v>
      </x:c>
      <x:c r="T169" s="46" t="str"/>
      <x:c r="U169" s="47" t="str"/>
      <x:c r="V169" s="46" t="str">
        <x:v>d6f78b463965f05</x:v>
      </x:c>
    </x:row>
    <x:row r="170">
      <x:c r="A170" s="46" t="str">
        <x:v>5</x:v>
      </x:c>
      <x:c r="B170" s="46" t="str">
        <x:v>86217</x:v>
      </x:c>
      <x:c r="C170" s="46" t="str">
        <x:v>Ακίνητη Προσθετική</x:v>
      </x:c>
      <x:c r="D170" s="47" t="str">
        <x:v>OTequator Rhein</x:v>
      </x:c>
      <x:c r="E170" s="47" t="str">
        <x:v>OTequator Rhein</x:v>
      </x:c>
      <x:c r="F170" s="47" t="str">
        <x:v>OTequator Rhein</x:v>
      </x:c>
      <x:c r="G170" s="48" t="n">
        <x:v>200</x:v>
      </x:c>
      <x:c r="H170" s="46" t="str">
        <x:v>Yes</x:v>
      </x:c>
      <x:c r="I170" s="47" t="str">
        <x:v>Whole tooth</x:v>
      </x:c>
      <x:c r="J170" s="47" t="str">
        <x:v>Single tooth</x:v>
      </x:c>
      <x:c r="K170" s="47" t="str">
        <x:v>none</x:v>
      </x:c>
      <x:c r="L170" s="47" t="str">
        <x:v>fixed-prosthetic</x:v>
      </x:c>
      <x:c r="M170" s="47" t="str">
        <x:v>Not specified</x:v>
      </x:c>
      <x:c r="N170" s="66" t="str">
        <x:v>#2E9D63</x:v>
      </x:c>
      <x:c r="O170" s="50" t="str">
        <x:v>High</x:v>
      </x:c>
      <x:c r="P170" s="55" t="str">
        <x:v>Medium</x:v>
      </x:c>
      <x:c r="Q170" s="47" t="str">
        <x:v>Fixed-prosthodontic group fallback</x:v>
      </x:c>
      <x:c r="R170" s="47" t="str">
        <x:v>Existing English/German or trade name preserved</x:v>
      </x:c>
      <x:c r="S170" s="52" t="str">
        <x:v>Yes</x:v>
      </x:c>
      <x:c r="T170" s="46" t="str"/>
      <x:c r="U170" s="47" t="str"/>
      <x:c r="V170" s="46" t="str">
        <x:v>d5d66071f2dc00f</x:v>
      </x:c>
    </x:row>
    <x:row r="171">
      <x:c r="A171" s="46" t="str">
        <x:v>7</x:v>
      </x:c>
      <x:c r="B171" s="46" t="str">
        <x:v>4350</x:v>
      </x:c>
      <x:c r="C171" s="46" t="str">
        <x:v>Κινητή Προσθετική</x:v>
      </x:c>
      <x:c r="D171" s="47" t="str">
        <x:v>Αναγόμωση μερικής οδοντοστοιχίας άνω</x:v>
      </x:c>
      <x:c r="E171" s="47" t="str">
        <x:v>Relining of partial denture upper</x:v>
      </x:c>
      <x:c r="F171" s="47" t="str">
        <x:v>Unterfütterung einer Teilprothese oben</x:v>
      </x:c>
      <x:c r="G171" s="48" t="n">
        <x:v>100</x:v>
      </x:c>
      <x:c r="H171" s="46" t="str">
        <x:v>No</x:v>
      </x:c>
      <x:c r="I171" s="47" t="str">
        <x:v>Removable prosthesis</x:v>
      </x:c>
      <x:c r="J171" s="47" t="str">
        <x:v>Arch / removable components</x:v>
      </x:c>
      <x:c r="K171" s="47" t="str">
        <x:v>none</x:v>
      </x:c>
      <x:c r="L171" s="47" t="str">
        <x:v>removable-prosthesis</x:v>
      </x:c>
      <x:c r="M171" s="47" t="str">
        <x:v>Not specified</x:v>
      </x:c>
      <x:c r="N171" s="68" t="str">
        <x:v>#E08A1E</x:v>
      </x:c>
      <x:c r="O171" s="55" t="str">
        <x:v>Medium</x:v>
      </x:c>
      <x:c r="P171" s="50" t="str">
        <x:v>High</x:v>
      </x:c>
      <x:c r="Q171" s="47" t="str">
        <x:v>Removable-prosthesis group/keyword</x:v>
      </x:c>
      <x:c r="R171" s="47" t="str">
        <x:v>Phrase-based clinical draft; language review recommended</x:v>
      </x:c>
      <x:c r="S171" s="56" t="str">
        <x:v>No</x:v>
      </x:c>
      <x:c r="T171" s="46" t="str"/>
      <x:c r="U171" s="47" t="str"/>
      <x:c r="V171" s="46" t="str">
        <x:v>d485f26487c7a77</x:v>
      </x:c>
    </x:row>
    <x:row r="172">
      <x:c r="A172" s="46" t="str">
        <x:v>7</x:v>
      </x:c>
      <x:c r="B172" s="46" t="str">
        <x:v>4351</x:v>
      </x:c>
      <x:c r="C172" s="46" t="str">
        <x:v>Κινητή Προσθετική</x:v>
      </x:c>
      <x:c r="D172" s="47" t="str">
        <x:v>Αναγόμωση μερικής οδοντοστοιχίας κάτω</x:v>
      </x:c>
      <x:c r="E172" s="47" t="str">
        <x:v>Relining of partial denture lower</x:v>
      </x:c>
      <x:c r="F172" s="47" t="str">
        <x:v>Unterfütterung einer Teilprothese unten</x:v>
      </x:c>
      <x:c r="G172" s="48" t="n">
        <x:v>100</x:v>
      </x:c>
      <x:c r="H172" s="46" t="str">
        <x:v>No</x:v>
      </x:c>
      <x:c r="I172" s="47" t="str">
        <x:v>Removable prosthesis</x:v>
      </x:c>
      <x:c r="J172" s="47" t="str">
        <x:v>Arch / removable components</x:v>
      </x:c>
      <x:c r="K172" s="47" t="str">
        <x:v>none</x:v>
      </x:c>
      <x:c r="L172" s="47" t="str">
        <x:v>removable-prosthesis</x:v>
      </x:c>
      <x:c r="M172" s="47" t="str">
        <x:v>Not specified</x:v>
      </x:c>
      <x:c r="N172" s="68" t="str">
        <x:v>#E08A1E</x:v>
      </x:c>
      <x:c r="O172" s="55" t="str">
        <x:v>Medium</x:v>
      </x:c>
      <x:c r="P172" s="50" t="str">
        <x:v>High</x:v>
      </x:c>
      <x:c r="Q172" s="47" t="str">
        <x:v>Removable-prosthesis group/keyword</x:v>
      </x:c>
      <x:c r="R172" s="47" t="str">
        <x:v>Phrase-based clinical draft; language review recommended</x:v>
      </x:c>
      <x:c r="S172" s="56" t="str">
        <x:v>No</x:v>
      </x:c>
      <x:c r="T172" s="46" t="str"/>
      <x:c r="U172" s="47" t="str"/>
      <x:c r="V172" s="46" t="str">
        <x:v>d8c1e2b49c95a9c</x:v>
      </x:c>
    </x:row>
    <x:row r="173">
      <x:c r="A173" s="46" t="str">
        <x:v>7</x:v>
      </x:c>
      <x:c r="B173" s="46" t="str">
        <x:v>4353</x:v>
      </x:c>
      <x:c r="C173" s="46" t="str">
        <x:v>Κινητή Προσθετική</x:v>
      </x:c>
      <x:c r="D173" s="47" t="str">
        <x:v>Αναγόμωση ολικής οδοντοστοιχίας άνω</x:v>
      </x:c>
      <x:c r="E173" s="47" t="str">
        <x:v>Relining of complete denture upper</x:v>
      </x:c>
      <x:c r="F173" s="47" t="str">
        <x:v>Unterfütterung einer Totalprothese oben</x:v>
      </x:c>
      <x:c r="G173" s="48" t="n">
        <x:v>150</x:v>
      </x:c>
      <x:c r="H173" s="46" t="str">
        <x:v>No</x:v>
      </x:c>
      <x:c r="I173" s="47" t="str">
        <x:v>Removable prosthesis</x:v>
      </x:c>
      <x:c r="J173" s="47" t="str">
        <x:v>Arch / removable components</x:v>
      </x:c>
      <x:c r="K173" s="47" t="str">
        <x:v>none</x:v>
      </x:c>
      <x:c r="L173" s="47" t="str">
        <x:v>removable-prosthesis</x:v>
      </x:c>
      <x:c r="M173" s="47" t="str">
        <x:v>Not specified</x:v>
      </x:c>
      <x:c r="N173" s="68" t="str">
        <x:v>#E08A1E</x:v>
      </x:c>
      <x:c r="O173" s="55" t="str">
        <x:v>Medium</x:v>
      </x:c>
      <x:c r="P173" s="50" t="str">
        <x:v>High</x:v>
      </x:c>
      <x:c r="Q173" s="47" t="str">
        <x:v>Removable-prosthesis group/keyword</x:v>
      </x:c>
      <x:c r="R173" s="47" t="str">
        <x:v>Phrase-based clinical draft; language review recommended</x:v>
      </x:c>
      <x:c r="S173" s="56" t="str">
        <x:v>No</x:v>
      </x:c>
      <x:c r="T173" s="46" t="str"/>
      <x:c r="U173" s="47" t="str"/>
      <x:c r="V173" s="46" t="str">
        <x:v>d1997dbe2e59c4e</x:v>
      </x:c>
    </x:row>
    <x:row r="174">
      <x:c r="A174" s="46" t="str">
        <x:v>7</x:v>
      </x:c>
      <x:c r="B174" s="46" t="str">
        <x:v>4352</x:v>
      </x:c>
      <x:c r="C174" s="46" t="str">
        <x:v>Κινητή Προσθετική</x:v>
      </x:c>
      <x:c r="D174" s="47" t="str">
        <x:v>Αναγόμωση ολικής οδοντοστοιχίας κάτω</x:v>
      </x:c>
      <x:c r="E174" s="47" t="str">
        <x:v>Relining of complete denture lower</x:v>
      </x:c>
      <x:c r="F174" s="47" t="str">
        <x:v>Unterfütterung einer Totalprothese unten</x:v>
      </x:c>
      <x:c r="G174" s="48" t="n">
        <x:v>150</x:v>
      </x:c>
      <x:c r="H174" s="46" t="str">
        <x:v>No</x:v>
      </x:c>
      <x:c r="I174" s="47" t="str">
        <x:v>Removable prosthesis</x:v>
      </x:c>
      <x:c r="J174" s="47" t="str">
        <x:v>Arch / removable components</x:v>
      </x:c>
      <x:c r="K174" s="47" t="str">
        <x:v>none</x:v>
      </x:c>
      <x:c r="L174" s="47" t="str">
        <x:v>removable-prosthesis</x:v>
      </x:c>
      <x:c r="M174" s="47" t="str">
        <x:v>Not specified</x:v>
      </x:c>
      <x:c r="N174" s="68" t="str">
        <x:v>#E08A1E</x:v>
      </x:c>
      <x:c r="O174" s="55" t="str">
        <x:v>Medium</x:v>
      </x:c>
      <x:c r="P174" s="50" t="str">
        <x:v>High</x:v>
      </x:c>
      <x:c r="Q174" s="47" t="str">
        <x:v>Removable-prosthesis group/keyword</x:v>
      </x:c>
      <x:c r="R174" s="47" t="str">
        <x:v>Phrase-based clinical draft; language review recommended</x:v>
      </x:c>
      <x:c r="S174" s="56" t="str">
        <x:v>No</x:v>
      </x:c>
      <x:c r="T174" s="46" t="str"/>
      <x:c r="U174" s="47" t="str"/>
      <x:c r="V174" s="46" t="str">
        <x:v>dc90dc9e6248407</x:v>
      </x:c>
    </x:row>
    <x:row r="175">
      <x:c r="A175" s="46" t="str">
        <x:v>7</x:v>
      </x:c>
      <x:c r="B175" s="46" t="str">
        <x:v>86158</x:v>
      </x:c>
      <x:c r="C175" s="46" t="str">
        <x:v>Κινητή Προσθετική</x:v>
      </x:c>
      <x:c r="D175" s="47" t="str">
        <x:v>Ατομικά δισκάρια</x:v>
      </x:c>
      <x:c r="E175" s="47" t="str">
        <x:v>Custom impression trays</x:v>
      </x:c>
      <x:c r="F175" s="47" t="str">
        <x:v>Individuelle Abformlöffel</x:v>
      </x:c>
      <x:c r="G175" s="48" t="n">
        <x:v>0</x:v>
      </x:c>
      <x:c r="H175" s="46" t="str">
        <x:v>Unknown</x:v>
      </x:c>
      <x:c r="I175" s="47" t="str">
        <x:v>Removable prosthesis</x:v>
      </x:c>
      <x:c r="J175" s="47" t="str">
        <x:v>Arch / removable components</x:v>
      </x:c>
      <x:c r="K175" s="47" t="str">
        <x:v>none</x:v>
      </x:c>
      <x:c r="L175" s="47" t="str">
        <x:v>removable-prosthesis</x:v>
      </x:c>
      <x:c r="M175" s="47" t="str">
        <x:v>Not specified</x:v>
      </x:c>
      <x:c r="N175" s="68" t="str">
        <x:v>#E08A1E</x:v>
      </x:c>
      <x:c r="O175" s="55" t="str">
        <x:v>Medium</x:v>
      </x:c>
      <x:c r="P175" s="50" t="str">
        <x:v>High</x:v>
      </x:c>
      <x:c r="Q175" s="47" t="str">
        <x:v>Removable-prosthesis group/keyword</x:v>
      </x:c>
      <x:c r="R175" s="47" t="str">
        <x:v>Phrase-based clinical draft; language review recommended</x:v>
      </x:c>
      <x:c r="S175" s="56" t="str">
        <x:v>No</x:v>
      </x:c>
      <x:c r="T175" s="46" t="str"/>
      <x:c r="U175" s="47" t="str"/>
      <x:c r="V175" s="46" t="str">
        <x:v>dcd97df6f13b9ae</x:v>
      </x:c>
    </x:row>
    <x:row r="176">
      <x:c r="A176" s="46" t="str">
        <x:v>7</x:v>
      </x:c>
      <x:c r="B176" s="46" t="str">
        <x:v>86171</x:v>
      </x:c>
      <x:c r="C176" s="46" t="str">
        <x:v>Κινητή Προσθετική</x:v>
      </x:c>
      <x:c r="D176" s="47" t="str">
        <x:v>Δοκός Dolder</x:v>
      </x:c>
      <x:c r="E176" s="47" t="str">
        <x:v>Dolder bar</x:v>
      </x:c>
      <x:c r="F176" s="47" t="str">
        <x:v>Dolder-Steg</x:v>
      </x:c>
      <x:c r="G176" s="48" t="n">
        <x:v>200</x:v>
      </x:c>
      <x:c r="H176" s="46" t="str">
        <x:v>No</x:v>
      </x:c>
      <x:c r="I176" s="47" t="str">
        <x:v>Removable prosthesis</x:v>
      </x:c>
      <x:c r="J176" s="47" t="str">
        <x:v>Arch / removable components</x:v>
      </x:c>
      <x:c r="K176" s="47" t="str">
        <x:v>none</x:v>
      </x:c>
      <x:c r="L176" s="47" t="str">
        <x:v>removable-prosthesis</x:v>
      </x:c>
      <x:c r="M176" s="47" t="str">
        <x:v>Not specified</x:v>
      </x:c>
      <x:c r="N176" s="68" t="str">
        <x:v>#E08A1E</x:v>
      </x:c>
      <x:c r="O176" s="50" t="str">
        <x:v>High</x:v>
      </x:c>
      <x:c r="P176" s="50" t="str">
        <x:v>High</x:v>
      </x:c>
      <x:c r="Q176" s="47" t="str">
        <x:v>Removable-prosthesis group/keyword</x:v>
      </x:c>
      <x:c r="R176" s="47" t="str">
        <x:v>Exact catalogue translation</x:v>
      </x:c>
      <x:c r="S176" s="56" t="str">
        <x:v>No</x:v>
      </x:c>
      <x:c r="T176" s="46" t="str"/>
      <x:c r="U176" s="47" t="str"/>
      <x:c r="V176" s="46" t="str">
        <x:v>d8ffc62439d22d4</x:v>
      </x:c>
    </x:row>
    <x:row r="177">
      <x:c r="A177" s="46" t="str">
        <x:v>7</x:v>
      </x:c>
      <x:c r="B177" s="46" t="str">
        <x:v>86205</x:v>
      </x:c>
      <x:c r="C177" s="46" t="str">
        <x:v>Κινητή Προσθετική</x:v>
      </x:c>
      <x:c r="D177" s="47" t="str">
        <x:v>Εξισορρόπηση σύγκλισης</x:v>
      </x:c>
      <x:c r="E177" s="47" t="str">
        <x:v>Occlusal adjustment</x:v>
      </x:c>
      <x:c r="F177" s="47" t="str">
        <x:v>Okklusionskorrektur</x:v>
      </x:c>
      <x:c r="G177" s="48" t="n">
        <x:v>0</x:v>
      </x:c>
      <x:c r="H177" s="46" t="str">
        <x:v>No</x:v>
      </x:c>
      <x:c r="I177" s="47" t="str">
        <x:v>Removable prosthesis</x:v>
      </x:c>
      <x:c r="J177" s="47" t="str">
        <x:v>Arch / removable components</x:v>
      </x:c>
      <x:c r="K177" s="47" t="str">
        <x:v>none</x:v>
      </x:c>
      <x:c r="L177" s="47" t="str">
        <x:v>removable-prosthesis</x:v>
      </x:c>
      <x:c r="M177" s="47" t="str">
        <x:v>Not specified</x:v>
      </x:c>
      <x:c r="N177" s="68" t="str">
        <x:v>#E08A1E</x:v>
      </x:c>
      <x:c r="O177" s="55" t="str">
        <x:v>Medium</x:v>
      </x:c>
      <x:c r="P177" s="50" t="str">
        <x:v>High</x:v>
      </x:c>
      <x:c r="Q177" s="47" t="str">
        <x:v>Removable-prosthesis group/keyword</x:v>
      </x:c>
      <x:c r="R177" s="47" t="str">
        <x:v>Phrase-based clinical draft; language review recommended</x:v>
      </x:c>
      <x:c r="S177" s="56" t="str">
        <x:v>No</x:v>
      </x:c>
      <x:c r="T177" s="46" t="str"/>
      <x:c r="U177" s="47" t="str"/>
      <x:c r="V177" s="46" t="str">
        <x:v>dc6533ac87b3e14</x:v>
      </x:c>
    </x:row>
    <x:row r="178">
      <x:c r="A178" s="46" t="str">
        <x:v>7</x:v>
      </x:c>
      <x:c r="B178" s="46" t="str">
        <x:v>4354</x:v>
      </x:c>
      <x:c r="C178" s="46" t="str">
        <x:v>Κινητή Προσθετική</x:v>
      </x:c>
      <x:c r="D178" s="47" t="str">
        <x:v>Επιδιόρθωση μερικής οδοντοστοιχίας άνω</x:v>
      </x:c>
      <x:c r="E178" s="47" t="str">
        <x:v>Repair of partial denture upper</x:v>
      </x:c>
      <x:c r="F178" s="47" t="str">
        <x:v>Reparatur einer Teilprothese oben</x:v>
      </x:c>
      <x:c r="G178" s="48" t="n">
        <x:v>0</x:v>
      </x:c>
      <x:c r="H178" s="46" t="str">
        <x:v>Unknown</x:v>
      </x:c>
      <x:c r="I178" s="47" t="str">
        <x:v>Removable prosthesis</x:v>
      </x:c>
      <x:c r="J178" s="47" t="str">
        <x:v>Arch / removable components</x:v>
      </x:c>
      <x:c r="K178" s="47" t="str">
        <x:v>none</x:v>
      </x:c>
      <x:c r="L178" s="47" t="str">
        <x:v>removable-prosthesis</x:v>
      </x:c>
      <x:c r="M178" s="47" t="str">
        <x:v>Not specified</x:v>
      </x:c>
      <x:c r="N178" s="68" t="str">
        <x:v>#E08A1E</x:v>
      </x:c>
      <x:c r="O178" s="55" t="str">
        <x:v>Medium</x:v>
      </x:c>
      <x:c r="P178" s="50" t="str">
        <x:v>High</x:v>
      </x:c>
      <x:c r="Q178" s="47" t="str">
        <x:v>Removable-prosthesis group/keyword</x:v>
      </x:c>
      <x:c r="R178" s="47" t="str">
        <x:v>Phrase-based clinical draft; language review recommended</x:v>
      </x:c>
      <x:c r="S178" s="56" t="str">
        <x:v>No</x:v>
      </x:c>
      <x:c r="T178" s="46" t="str"/>
      <x:c r="U178" s="47" t="str"/>
      <x:c r="V178" s="46" t="str">
        <x:v>d7dab8fcd800d18</x:v>
      </x:c>
    </x:row>
    <x:row r="179">
      <x:c r="A179" s="46" t="str">
        <x:v>7</x:v>
      </x:c>
      <x:c r="B179" s="46" t="str">
        <x:v>4355</x:v>
      </x:c>
      <x:c r="C179" s="46" t="str">
        <x:v>Κινητή Προσθετική</x:v>
      </x:c>
      <x:c r="D179" s="47" t="str">
        <x:v>Επιδιόρθωση μερικής οδοντοστοιχίας κάτω</x:v>
      </x:c>
      <x:c r="E179" s="47" t="str">
        <x:v>Repair of partial denture lower</x:v>
      </x:c>
      <x:c r="F179" s="47" t="str">
        <x:v>Reparatur einer Teilprothese unten</x:v>
      </x:c>
      <x:c r="G179" s="48" t="n">
        <x:v>0</x:v>
      </x:c>
      <x:c r="H179" s="46" t="str">
        <x:v>Unknown</x:v>
      </x:c>
      <x:c r="I179" s="47" t="str">
        <x:v>Removable prosthesis</x:v>
      </x:c>
      <x:c r="J179" s="47" t="str">
        <x:v>Arch / removable components</x:v>
      </x:c>
      <x:c r="K179" s="47" t="str">
        <x:v>none</x:v>
      </x:c>
      <x:c r="L179" s="47" t="str">
        <x:v>removable-prosthesis</x:v>
      </x:c>
      <x:c r="M179" s="47" t="str">
        <x:v>Not specified</x:v>
      </x:c>
      <x:c r="N179" s="68" t="str">
        <x:v>#E08A1E</x:v>
      </x:c>
      <x:c r="O179" s="55" t="str">
        <x:v>Medium</x:v>
      </x:c>
      <x:c r="P179" s="50" t="str">
        <x:v>High</x:v>
      </x:c>
      <x:c r="Q179" s="47" t="str">
        <x:v>Removable-prosthesis group/keyword</x:v>
      </x:c>
      <x:c r="R179" s="47" t="str">
        <x:v>Phrase-based clinical draft; language review recommended</x:v>
      </x:c>
      <x:c r="S179" s="56" t="str">
        <x:v>No</x:v>
      </x:c>
      <x:c r="T179" s="46" t="str"/>
      <x:c r="U179" s="47" t="str"/>
      <x:c r="V179" s="46" t="str">
        <x:v>df22730de800b80</x:v>
      </x:c>
    </x:row>
    <x:row r="180">
      <x:c r="A180" s="46" t="str">
        <x:v>7</x:v>
      </x:c>
      <x:c r="B180" s="46" t="str">
        <x:v>4356</x:v>
      </x:c>
      <x:c r="C180" s="46" t="str">
        <x:v>Κινητή Προσθετική</x:v>
      </x:c>
      <x:c r="D180" s="47" t="str">
        <x:v>Επιδιόρθωση ολικής οδοντοστοιχίας άνω</x:v>
      </x:c>
      <x:c r="E180" s="47" t="str">
        <x:v>Repair of complete denture upper</x:v>
      </x:c>
      <x:c r="F180" s="47" t="str">
        <x:v>Reparatur einer Totalprothese oben</x:v>
      </x:c>
      <x:c r="G180" s="48" t="n">
        <x:v>0</x:v>
      </x:c>
      <x:c r="H180" s="46" t="str">
        <x:v>Unknown</x:v>
      </x:c>
      <x:c r="I180" s="47" t="str">
        <x:v>Removable prosthesis</x:v>
      </x:c>
      <x:c r="J180" s="47" t="str">
        <x:v>Arch / removable components</x:v>
      </x:c>
      <x:c r="K180" s="47" t="str">
        <x:v>none</x:v>
      </x:c>
      <x:c r="L180" s="47" t="str">
        <x:v>removable-prosthesis</x:v>
      </x:c>
      <x:c r="M180" s="47" t="str">
        <x:v>Not specified</x:v>
      </x:c>
      <x:c r="N180" s="68" t="str">
        <x:v>#E08A1E</x:v>
      </x:c>
      <x:c r="O180" s="55" t="str">
        <x:v>Medium</x:v>
      </x:c>
      <x:c r="P180" s="50" t="str">
        <x:v>High</x:v>
      </x:c>
      <x:c r="Q180" s="47" t="str">
        <x:v>Removable-prosthesis group/keyword</x:v>
      </x:c>
      <x:c r="R180" s="47" t="str">
        <x:v>Phrase-based clinical draft; language review recommended</x:v>
      </x:c>
      <x:c r="S180" s="56" t="str">
        <x:v>No</x:v>
      </x:c>
      <x:c r="T180" s="46" t="str"/>
      <x:c r="U180" s="47" t="str"/>
      <x:c r="V180" s="46" t="str">
        <x:v>da970971d2160f4</x:v>
      </x:c>
    </x:row>
    <x:row r="181">
      <x:c r="A181" s="46" t="str">
        <x:v>7</x:v>
      </x:c>
      <x:c r="B181" s="46" t="str">
        <x:v>4357</x:v>
      </x:c>
      <x:c r="C181" s="46" t="str">
        <x:v>Κινητή Προσθετική</x:v>
      </x:c>
      <x:c r="D181" s="47" t="str">
        <x:v>Επιδιόρθωση ολικής οδοντοστοιχίας κάτω</x:v>
      </x:c>
      <x:c r="E181" s="47" t="str">
        <x:v>Repair of complete denture lower</x:v>
      </x:c>
      <x:c r="F181" s="47" t="str">
        <x:v>Reparatur einer Totalprothese unten</x:v>
      </x:c>
      <x:c r="G181" s="48" t="n">
        <x:v>0</x:v>
      </x:c>
      <x:c r="H181" s="46" t="str">
        <x:v>Unknown</x:v>
      </x:c>
      <x:c r="I181" s="47" t="str">
        <x:v>Removable prosthesis</x:v>
      </x:c>
      <x:c r="J181" s="47" t="str">
        <x:v>Arch / removable components</x:v>
      </x:c>
      <x:c r="K181" s="47" t="str">
        <x:v>none</x:v>
      </x:c>
      <x:c r="L181" s="47" t="str">
        <x:v>removable-prosthesis</x:v>
      </x:c>
      <x:c r="M181" s="47" t="str">
        <x:v>Not specified</x:v>
      </x:c>
      <x:c r="N181" s="68" t="str">
        <x:v>#E08A1E</x:v>
      </x:c>
      <x:c r="O181" s="55" t="str">
        <x:v>Medium</x:v>
      </x:c>
      <x:c r="P181" s="50" t="str">
        <x:v>High</x:v>
      </x:c>
      <x:c r="Q181" s="47" t="str">
        <x:v>Removable-prosthesis group/keyword</x:v>
      </x:c>
      <x:c r="R181" s="47" t="str">
        <x:v>Phrase-based clinical draft; language review recommended</x:v>
      </x:c>
      <x:c r="S181" s="56" t="str">
        <x:v>No</x:v>
      </x:c>
      <x:c r="T181" s="46" t="str"/>
      <x:c r="U181" s="47" t="str"/>
      <x:c r="V181" s="46" t="str">
        <x:v>d09bb405ee88bad</x:v>
      </x:c>
    </x:row>
    <x:row r="182">
      <x:c r="A182" s="46" t="str">
        <x:v>7</x:v>
      </x:c>
      <x:c r="B182" s="46" t="str">
        <x:v>5016</x:v>
      </x:c>
      <x:c r="C182" s="46" t="str">
        <x:v>Κινητή Προσθετική</x:v>
      </x:c>
      <x:c r="D182" s="47" t="str">
        <x:v>Μερική οδοντοστοιχιά άνω</x:v>
      </x:c>
      <x:c r="E182" s="47" t="str">
        <x:v>Partial denture upper</x:v>
      </x:c>
      <x:c r="F182" s="47" t="str">
        <x:v>Teilprothese oben</x:v>
      </x:c>
      <x:c r="G182" s="48" t="n">
        <x:v>700</x:v>
      </x:c>
      <x:c r="H182" s="46" t="str">
        <x:v>Yes</x:v>
      </x:c>
      <x:c r="I182" s="47" t="str">
        <x:v>Removable prosthesis</x:v>
      </x:c>
      <x:c r="J182" s="47" t="str">
        <x:v>Arch / removable components</x:v>
      </x:c>
      <x:c r="K182" s="47" t="str">
        <x:v>none</x:v>
      </x:c>
      <x:c r="L182" s="47" t="str">
        <x:v>removable-prosthesis</x:v>
      </x:c>
      <x:c r="M182" s="47" t="str">
        <x:v>Not specified</x:v>
      </x:c>
      <x:c r="N182" s="68" t="str">
        <x:v>#E08A1E</x:v>
      </x:c>
      <x:c r="O182" s="55" t="str">
        <x:v>Medium</x:v>
      </x:c>
      <x:c r="P182" s="50" t="str">
        <x:v>High</x:v>
      </x:c>
      <x:c r="Q182" s="47" t="str">
        <x:v>Removable-prosthesis group/keyword</x:v>
      </x:c>
      <x:c r="R182" s="47" t="str">
        <x:v>Phrase-based clinical draft; language review recommended</x:v>
      </x:c>
      <x:c r="S182" s="56" t="str">
        <x:v>No</x:v>
      </x:c>
      <x:c r="T182" s="46" t="str"/>
      <x:c r="U182" s="47" t="str"/>
      <x:c r="V182" s="46" t="str">
        <x:v>dd791218f04b08e</x:v>
      </x:c>
    </x:row>
    <x:row r="183">
      <x:c r="A183" s="46" t="str">
        <x:v>7</x:v>
      </x:c>
      <x:c r="B183" s="46" t="str">
        <x:v>86197</x:v>
      </x:c>
      <x:c r="C183" s="46" t="str">
        <x:v>Κινητή Προσθετική</x:v>
      </x:c>
      <x:c r="D183" s="47" t="str">
        <x:v>Μερική οδοντοστοιχία θερμοπλαστική άνω</x:v>
      </x:c>
      <x:c r="E183" s="47" t="str">
        <x:v>Partial denture thermoplastic upper</x:v>
      </x:c>
      <x:c r="F183" s="47" t="str">
        <x:v>Teilprothese thermoplastisch oben</x:v>
      </x:c>
      <x:c r="G183" s="48" t="n">
        <x:v>400</x:v>
      </x:c>
      <x:c r="H183" s="46" t="str">
        <x:v>No</x:v>
      </x:c>
      <x:c r="I183" s="47" t="str">
        <x:v>Removable prosthesis</x:v>
      </x:c>
      <x:c r="J183" s="47" t="str">
        <x:v>Arch / removable components</x:v>
      </x:c>
      <x:c r="K183" s="47" t="str">
        <x:v>none</x:v>
      </x:c>
      <x:c r="L183" s="47" t="str">
        <x:v>removable-prosthesis</x:v>
      </x:c>
      <x:c r="M183" s="47" t="str">
        <x:v>Not specified</x:v>
      </x:c>
      <x:c r="N183" s="68" t="str">
        <x:v>#E08A1E</x:v>
      </x:c>
      <x:c r="O183" s="55" t="str">
        <x:v>Medium</x:v>
      </x:c>
      <x:c r="P183" s="50" t="str">
        <x:v>High</x:v>
      </x:c>
      <x:c r="Q183" s="47" t="str">
        <x:v>Removable-prosthesis group/keyword</x:v>
      </x:c>
      <x:c r="R183" s="47" t="str">
        <x:v>Phrase-based clinical draft; language review recommended</x:v>
      </x:c>
      <x:c r="S183" s="56" t="str">
        <x:v>No</x:v>
      </x:c>
      <x:c r="T183" s="46" t="str"/>
      <x:c r="U183" s="47" t="str"/>
      <x:c r="V183" s="46" t="str">
        <x:v>d3e019907f60c3b</x:v>
      </x:c>
    </x:row>
    <x:row r="184">
      <x:c r="A184" s="46" t="str">
        <x:v>7</x:v>
      </x:c>
      <x:c r="B184" s="46" t="str">
        <x:v>86198</x:v>
      </x:c>
      <x:c r="C184" s="46" t="str">
        <x:v>Κινητή Προσθετική</x:v>
      </x:c>
      <x:c r="D184" s="47" t="str">
        <x:v>Μερική οδοντοστοιχία θερμοπλαστική κάτω</x:v>
      </x:c>
      <x:c r="E184" s="47" t="str">
        <x:v>Partial denture thermoplastic lower</x:v>
      </x:c>
      <x:c r="F184" s="47" t="str">
        <x:v>Teilprothese thermoplastisch unten</x:v>
      </x:c>
      <x:c r="G184" s="48" t="n">
        <x:v>400</x:v>
      </x:c>
      <x:c r="H184" s="46" t="str">
        <x:v>No</x:v>
      </x:c>
      <x:c r="I184" s="47" t="str">
        <x:v>Removable prosthesis</x:v>
      </x:c>
      <x:c r="J184" s="47" t="str">
        <x:v>Arch / removable components</x:v>
      </x:c>
      <x:c r="K184" s="47" t="str">
        <x:v>none</x:v>
      </x:c>
      <x:c r="L184" s="47" t="str">
        <x:v>removable-prosthesis</x:v>
      </x:c>
      <x:c r="M184" s="47" t="str">
        <x:v>Not specified</x:v>
      </x:c>
      <x:c r="N184" s="68" t="str">
        <x:v>#E08A1E</x:v>
      </x:c>
      <x:c r="O184" s="55" t="str">
        <x:v>Medium</x:v>
      </x:c>
      <x:c r="P184" s="50" t="str">
        <x:v>High</x:v>
      </x:c>
      <x:c r="Q184" s="47" t="str">
        <x:v>Removable-prosthesis group/keyword</x:v>
      </x:c>
      <x:c r="R184" s="47" t="str">
        <x:v>Phrase-based clinical draft; language review recommended</x:v>
      </x:c>
      <x:c r="S184" s="56" t="str">
        <x:v>No</x:v>
      </x:c>
      <x:c r="T184" s="46" t="str"/>
      <x:c r="U184" s="47" t="str"/>
      <x:c r="V184" s="46" t="str">
        <x:v>d4eff76f9e97a7a</x:v>
      </x:c>
    </x:row>
    <x:row r="185">
      <x:c r="A185" s="46" t="str">
        <x:v>7</x:v>
      </x:c>
      <x:c r="B185" s="46" t="str">
        <x:v>5015</x:v>
      </x:c>
      <x:c r="C185" s="46" t="str">
        <x:v>Κινητή Προσθετική</x:v>
      </x:c>
      <x:c r="D185" s="47" t="str">
        <x:v>Μερική οδοντοστοιχία κάτω</x:v>
      </x:c>
      <x:c r="E185" s="47" t="str">
        <x:v>Partial denture lower</x:v>
      </x:c>
      <x:c r="F185" s="47" t="str">
        <x:v>Teilprothese unten</x:v>
      </x:c>
      <x:c r="G185" s="48" t="n">
        <x:v>700</x:v>
      </x:c>
      <x:c r="H185" s="46" t="str">
        <x:v>Unknown</x:v>
      </x:c>
      <x:c r="I185" s="47" t="str">
        <x:v>Removable prosthesis</x:v>
      </x:c>
      <x:c r="J185" s="47" t="str">
        <x:v>Arch / removable components</x:v>
      </x:c>
      <x:c r="K185" s="47" t="str">
        <x:v>none</x:v>
      </x:c>
      <x:c r="L185" s="47" t="str">
        <x:v>removable-prosthesis</x:v>
      </x:c>
      <x:c r="M185" s="47" t="str">
        <x:v>Not specified</x:v>
      </x:c>
      <x:c r="N185" s="68" t="str">
        <x:v>#E08A1E</x:v>
      </x:c>
      <x:c r="O185" s="55" t="str">
        <x:v>Medium</x:v>
      </x:c>
      <x:c r="P185" s="50" t="str">
        <x:v>High</x:v>
      </x:c>
      <x:c r="Q185" s="47" t="str">
        <x:v>Removable-prosthesis group/keyword</x:v>
      </x:c>
      <x:c r="R185" s="47" t="str">
        <x:v>Phrase-based clinical draft; language review recommended</x:v>
      </x:c>
      <x:c r="S185" s="56" t="str">
        <x:v>No</x:v>
      </x:c>
      <x:c r="T185" s="46" t="str"/>
      <x:c r="U185" s="47" t="str"/>
      <x:c r="V185" s="46" t="str">
        <x:v>d4603136a28d2b3</x:v>
      </x:c>
    </x:row>
    <x:row r="186">
      <x:c r="A186" s="46" t="str">
        <x:v>7</x:v>
      </x:c>
      <x:c r="B186" s="46" t="str">
        <x:v>86192</x:v>
      </x:c>
      <x:c r="C186" s="46" t="str">
        <x:v>Κινητή Προσθετική</x:v>
      </x:c>
      <x:c r="D186" s="47" t="str">
        <x:v>Μεταβατική μερική - `πεταλούδα` ακρυλική</x:v>
      </x:c>
      <x:c r="E186" s="47" t="str">
        <x:v>Transitional acrylic flipper partial denture</x:v>
      </x:c>
      <x:c r="F186" s="47" t="str">
        <x:v>Interimsteilprothese als Acryl-Flipper</x:v>
      </x:c>
      <x:c r="G186" s="48" t="n">
        <x:v>80</x:v>
      </x:c>
      <x:c r="H186" s="46" t="str">
        <x:v>No</x:v>
      </x:c>
      <x:c r="I186" s="47" t="str">
        <x:v>Removable prosthesis</x:v>
      </x:c>
      <x:c r="J186" s="47" t="str">
        <x:v>Arch / removable components</x:v>
      </x:c>
      <x:c r="K186" s="47" t="str">
        <x:v>none</x:v>
      </x:c>
      <x:c r="L186" s="47" t="str">
        <x:v>removable-prosthesis</x:v>
      </x:c>
      <x:c r="M186" s="47" t="str">
        <x:v>Acrylic</x:v>
      </x:c>
      <x:c r="N186" s="68" t="str">
        <x:v>#E08A1E</x:v>
      </x:c>
      <x:c r="O186" s="50" t="str">
        <x:v>High</x:v>
      </x:c>
      <x:c r="P186" s="50" t="str">
        <x:v>High</x:v>
      </x:c>
      <x:c r="Q186" s="47" t="str">
        <x:v>Removable-prosthesis group/keyword</x:v>
      </x:c>
      <x:c r="R186" s="47" t="str">
        <x:v>Exact catalogue translation</x:v>
      </x:c>
      <x:c r="S186" s="56" t="str">
        <x:v>No</x:v>
      </x:c>
      <x:c r="T186" s="46" t="str"/>
      <x:c r="U186" s="47" t="str"/>
      <x:c r="V186" s="46" t="str">
        <x:v>d54ba306e3b6625</x:v>
      </x:c>
    </x:row>
    <x:row r="187">
      <x:c r="A187" s="46" t="str">
        <x:v>7</x:v>
      </x:c>
      <x:c r="B187" s="46" t="str">
        <x:v>86193</x:v>
      </x:c>
      <x:c r="C187" s="46" t="str">
        <x:v>Κινητή Προσθετική</x:v>
      </x:c>
      <x:c r="D187" s="47" t="str">
        <x:v>Μεταβατική μερική - `πεταλούδα` θερμοπλαστική</x:v>
      </x:c>
      <x:c r="E187" s="47" t="str">
        <x:v>Transitional thermoplastic flipper partial denture</x:v>
      </x:c>
      <x:c r="F187" s="47" t="str">
        <x:v>Interimsteilprothese als thermoplastischer Flipper</x:v>
      </x:c>
      <x:c r="G187" s="48" t="n">
        <x:v>90</x:v>
      </x:c>
      <x:c r="H187" s="46" t="str">
        <x:v>No</x:v>
      </x:c>
      <x:c r="I187" s="47" t="str">
        <x:v>Removable prosthesis</x:v>
      </x:c>
      <x:c r="J187" s="47" t="str">
        <x:v>Arch / removable components</x:v>
      </x:c>
      <x:c r="K187" s="47" t="str">
        <x:v>none</x:v>
      </x:c>
      <x:c r="L187" s="47" t="str">
        <x:v>removable-prosthesis</x:v>
      </x:c>
      <x:c r="M187" s="47" t="str">
        <x:v>Not specified</x:v>
      </x:c>
      <x:c r="N187" s="68" t="str">
        <x:v>#E08A1E</x:v>
      </x:c>
      <x:c r="O187" s="50" t="str">
        <x:v>High</x:v>
      </x:c>
      <x:c r="P187" s="50" t="str">
        <x:v>High</x:v>
      </x:c>
      <x:c r="Q187" s="47" t="str">
        <x:v>Removable-prosthesis group/keyword</x:v>
      </x:c>
      <x:c r="R187" s="47" t="str">
        <x:v>Exact catalogue translation</x:v>
      </x:c>
      <x:c r="S187" s="56" t="str">
        <x:v>No</x:v>
      </x:c>
      <x:c r="T187" s="46" t="str"/>
      <x:c r="U187" s="47" t="str"/>
      <x:c r="V187" s="46" t="str">
        <x:v>d3a5f5c57302fe9</x:v>
      </x:c>
    </x:row>
    <x:row r="188">
      <x:c r="A188" s="46" t="str">
        <x:v>7</x:v>
      </x:c>
      <x:c r="B188" s="46" t="str">
        <x:v>86120</x:v>
      </x:c>
      <x:c r="C188" s="46" t="str">
        <x:v>Κινητή Προσθετική</x:v>
      </x:c>
      <x:c r="D188" s="47" t="str">
        <x:v>Μεταβατική οδοντοστοιχία - Προσθήκη δοντιών</x:v>
      </x:c>
      <x:c r="E188" s="47" t="str">
        <x:v>Transitional denture — addition of teeth</x:v>
      </x:c>
      <x:c r="F188" s="47" t="str">
        <x:v>Interimsprothese — Erweiterung um Zähne</x:v>
      </x:c>
      <x:c r="G188" s="48" t="n">
        <x:v>140</x:v>
      </x:c>
      <x:c r="H188" s="46" t="str">
        <x:v>No</x:v>
      </x:c>
      <x:c r="I188" s="47" t="str">
        <x:v>Removable prosthesis</x:v>
      </x:c>
      <x:c r="J188" s="47" t="str">
        <x:v>Arch / removable components</x:v>
      </x:c>
      <x:c r="K188" s="47" t="str">
        <x:v>none</x:v>
      </x:c>
      <x:c r="L188" s="47" t="str">
        <x:v>removable-prosthesis</x:v>
      </x:c>
      <x:c r="M188" s="47" t="str">
        <x:v>Not specified</x:v>
      </x:c>
      <x:c r="N188" s="68" t="str">
        <x:v>#E08A1E</x:v>
      </x:c>
      <x:c r="O188" s="50" t="str">
        <x:v>High</x:v>
      </x:c>
      <x:c r="P188" s="50" t="str">
        <x:v>High</x:v>
      </x:c>
      <x:c r="Q188" s="47" t="str">
        <x:v>Removable-prosthesis group/keyword</x:v>
      </x:c>
      <x:c r="R188" s="47" t="str">
        <x:v>Exact catalogue translation</x:v>
      </x:c>
      <x:c r="S188" s="56" t="str">
        <x:v>No</x:v>
      </x:c>
      <x:c r="T188" s="46" t="str"/>
      <x:c r="U188" s="47" t="str"/>
      <x:c r="V188" s="46" t="str">
        <x:v>db4e59d6a1f3d33</x:v>
      </x:c>
    </x:row>
    <x:row r="189">
      <x:c r="A189" s="46" t="str">
        <x:v>7</x:v>
      </x:c>
      <x:c r="B189" s="46" t="str">
        <x:v>86226</x:v>
      </x:c>
      <x:c r="C189" s="46" t="str">
        <x:v>Κινητή Προσθετική</x:v>
      </x:c>
      <x:c r="D189" s="47" t="str">
        <x:v>Μεταβατική ολική οδοντοστοιχία</x:v>
      </x:c>
      <x:c r="E189" s="47" t="str">
        <x:v>Transitional complete denture</x:v>
      </x:c>
      <x:c r="F189" s="47" t="str">
        <x:v>Interimstotalprothese</x:v>
      </x:c>
      <x:c r="G189" s="48" t="n">
        <x:v>0</x:v>
      </x:c>
      <x:c r="H189" s="46" t="str">
        <x:v>Unknown</x:v>
      </x:c>
      <x:c r="I189" s="47" t="str">
        <x:v>Removable prosthesis</x:v>
      </x:c>
      <x:c r="J189" s="47" t="str">
        <x:v>Arch / removable components</x:v>
      </x:c>
      <x:c r="K189" s="47" t="str">
        <x:v>none</x:v>
      </x:c>
      <x:c r="L189" s="47" t="str">
        <x:v>removable-prosthesis</x:v>
      </x:c>
      <x:c r="M189" s="47" t="str">
        <x:v>Not specified</x:v>
      </x:c>
      <x:c r="N189" s="68" t="str">
        <x:v>#E08A1E</x:v>
      </x:c>
      <x:c r="O189" s="50" t="str">
        <x:v>High</x:v>
      </x:c>
      <x:c r="P189" s="50" t="str">
        <x:v>High</x:v>
      </x:c>
      <x:c r="Q189" s="47" t="str">
        <x:v>Removable-prosthesis group/keyword</x:v>
      </x:c>
      <x:c r="R189" s="47" t="str">
        <x:v>Exact catalogue translation</x:v>
      </x:c>
      <x:c r="S189" s="56" t="str">
        <x:v>No</x:v>
      </x:c>
      <x:c r="T189" s="46" t="str"/>
      <x:c r="U189" s="47" t="str"/>
      <x:c r="V189" s="46" t="str">
        <x:v>d82b3b848bd27a1</x:v>
      </x:c>
    </x:row>
    <x:row r="190">
      <x:c r="A190" s="46" t="str">
        <x:v>7</x:v>
      </x:c>
      <x:c r="B190" s="46" t="str">
        <x:v>4359</x:v>
      </x:c>
      <x:c r="C190" s="46" t="str">
        <x:v>Κινητή Προσθετική</x:v>
      </x:c>
      <x:c r="D190" s="47" t="str">
        <x:v>Ολική οδοντοστοιχία άνω</x:v>
      </x:c>
      <x:c r="E190" s="47" t="str">
        <x:v>Complete denture upper</x:v>
      </x:c>
      <x:c r="F190" s="47" t="str">
        <x:v>Totalprothese oben</x:v>
      </x:c>
      <x:c r="G190" s="48" t="n">
        <x:v>650</x:v>
      </x:c>
      <x:c r="H190" s="46" t="str">
        <x:v>Unknown</x:v>
      </x:c>
      <x:c r="I190" s="47" t="str">
        <x:v>Removable prosthesis</x:v>
      </x:c>
      <x:c r="J190" s="47" t="str">
        <x:v>Arch / removable components</x:v>
      </x:c>
      <x:c r="K190" s="47" t="str">
        <x:v>none</x:v>
      </x:c>
      <x:c r="L190" s="47" t="str">
        <x:v>removable-prosthesis</x:v>
      </x:c>
      <x:c r="M190" s="47" t="str">
        <x:v>Not specified</x:v>
      </x:c>
      <x:c r="N190" s="68" t="str">
        <x:v>#E08A1E</x:v>
      </x:c>
      <x:c r="O190" s="55" t="str">
        <x:v>Medium</x:v>
      </x:c>
      <x:c r="P190" s="50" t="str">
        <x:v>High</x:v>
      </x:c>
      <x:c r="Q190" s="47" t="str">
        <x:v>Removable-prosthesis group/keyword</x:v>
      </x:c>
      <x:c r="R190" s="47" t="str">
        <x:v>Phrase-based clinical draft; language review recommended</x:v>
      </x:c>
      <x:c r="S190" s="56" t="str">
        <x:v>No</x:v>
      </x:c>
      <x:c r="T190" s="46" t="str"/>
      <x:c r="U190" s="47" t="str"/>
      <x:c r="V190" s="46" t="str">
        <x:v>d97bed746e7fa8e</x:v>
      </x:c>
    </x:row>
    <x:row r="191">
      <x:c r="A191" s="46" t="str">
        <x:v>7</x:v>
      </x:c>
      <x:c r="B191" s="46" t="str">
        <x:v>5024</x:v>
      </x:c>
      <x:c r="C191" s="46" t="str">
        <x:v>Κινητή Προσθετική</x:v>
      </x:c>
      <x:c r="D191" s="47" t="str">
        <x:v>Ολική οδοντοστοιχία κάτω</x:v>
      </x:c>
      <x:c r="E191" s="47" t="str">
        <x:v>Complete denture lower</x:v>
      </x:c>
      <x:c r="F191" s="47" t="str">
        <x:v>Totalprothese unten</x:v>
      </x:c>
      <x:c r="G191" s="48" t="n">
        <x:v>650</x:v>
      </x:c>
      <x:c r="H191" s="46" t="str">
        <x:v>Unknown</x:v>
      </x:c>
      <x:c r="I191" s="47" t="str">
        <x:v>Removable prosthesis</x:v>
      </x:c>
      <x:c r="J191" s="47" t="str">
        <x:v>Arch / removable components</x:v>
      </x:c>
      <x:c r="K191" s="47" t="str">
        <x:v>none</x:v>
      </x:c>
      <x:c r="L191" s="47" t="str">
        <x:v>removable-prosthesis</x:v>
      </x:c>
      <x:c r="M191" s="47" t="str">
        <x:v>Not specified</x:v>
      </x:c>
      <x:c r="N191" s="68" t="str">
        <x:v>#E08A1E</x:v>
      </x:c>
      <x:c r="O191" s="55" t="str">
        <x:v>Medium</x:v>
      </x:c>
      <x:c r="P191" s="50" t="str">
        <x:v>High</x:v>
      </x:c>
      <x:c r="Q191" s="47" t="str">
        <x:v>Removable-prosthesis group/keyword</x:v>
      </x:c>
      <x:c r="R191" s="47" t="str">
        <x:v>Phrase-based clinical draft; language review recommended</x:v>
      </x:c>
      <x:c r="S191" s="56" t="str">
        <x:v>No</x:v>
      </x:c>
      <x:c r="T191" s="46" t="str"/>
      <x:c r="U191" s="47" t="str"/>
      <x:c r="V191" s="46" t="str">
        <x:v>db374df67555945</x:v>
      </x:c>
    </x:row>
    <x:row r="192">
      <x:c r="A192" s="46" t="str">
        <x:v>7</x:v>
      </x:c>
      <x:c r="B192" s="46" t="str">
        <x:v>86180</x:v>
      </x:c>
      <x:c r="C192" s="46" t="str">
        <x:v>Κινητή Προσθετική</x:v>
      </x:c>
      <x:c r="D192" s="47" t="str">
        <x:v>Παράδοση οδοντοστοιχίας</x:v>
      </x:c>
      <x:c r="E192" s="47" t="str">
        <x:v>Denture delivery</x:v>
      </x:c>
      <x:c r="F192" s="47" t="str">
        <x:v>Protheseneingliederung</x:v>
      </x:c>
      <x:c r="G192" s="48" t="n">
        <x:v>0</x:v>
      </x:c>
      <x:c r="H192" s="46" t="str">
        <x:v>Unknown</x:v>
      </x:c>
      <x:c r="I192" s="47" t="str">
        <x:v>Removable prosthesis</x:v>
      </x:c>
      <x:c r="J192" s="47" t="str">
        <x:v>Arch / removable components</x:v>
      </x:c>
      <x:c r="K192" s="47" t="str">
        <x:v>none</x:v>
      </x:c>
      <x:c r="L192" s="47" t="str">
        <x:v>removable-prosthesis</x:v>
      </x:c>
      <x:c r="M192" s="47" t="str">
        <x:v>Not specified</x:v>
      </x:c>
      <x:c r="N192" s="68" t="str">
        <x:v>#E08A1E</x:v>
      </x:c>
      <x:c r="O192" s="55" t="str">
        <x:v>Medium</x:v>
      </x:c>
      <x:c r="P192" s="50" t="str">
        <x:v>High</x:v>
      </x:c>
      <x:c r="Q192" s="47" t="str">
        <x:v>Removable-prosthesis group/keyword</x:v>
      </x:c>
      <x:c r="R192" s="47" t="str">
        <x:v>Phrase-based clinical draft; language review recommended</x:v>
      </x:c>
      <x:c r="S192" s="56" t="str">
        <x:v>No</x:v>
      </x:c>
      <x:c r="T192" s="46" t="str"/>
      <x:c r="U192" s="47" t="str"/>
      <x:c r="V192" s="46" t="str">
        <x:v>de65e8dbaa3f459</x:v>
      </x:c>
    </x:row>
    <x:row r="193">
      <x:c r="A193" s="46" t="str">
        <x:v>7</x:v>
      </x:c>
      <x:c r="B193" s="46" t="str">
        <x:v>86164</x:v>
      </x:c>
      <x:c r="C193" s="46" t="str">
        <x:v>Κινητή Προσθετική</x:v>
      </x:c>
      <x:c r="D193" s="47" t="str">
        <x:v>Πρόβα οπισθίων</x:v>
      </x:c>
      <x:c r="E193" s="47" t="str">
        <x:v>Posterior-tooth try-in</x:v>
      </x:c>
      <x:c r="F193" s="47" t="str">
        <x:v>Seitenzahnprobe</x:v>
      </x:c>
      <x:c r="G193" s="48" t="n">
        <x:v>0</x:v>
      </x:c>
      <x:c r="H193" s="46" t="str">
        <x:v>No</x:v>
      </x:c>
      <x:c r="I193" s="47" t="str">
        <x:v>Removable prosthesis</x:v>
      </x:c>
      <x:c r="J193" s="47" t="str">
        <x:v>Arch / removable components</x:v>
      </x:c>
      <x:c r="K193" s="47" t="str">
        <x:v>none</x:v>
      </x:c>
      <x:c r="L193" s="47" t="str">
        <x:v>removable-prosthesis</x:v>
      </x:c>
      <x:c r="M193" s="47" t="str">
        <x:v>Not specified</x:v>
      </x:c>
      <x:c r="N193" s="68" t="str">
        <x:v>#E08A1E</x:v>
      </x:c>
      <x:c r="O193" s="50" t="str">
        <x:v>High</x:v>
      </x:c>
      <x:c r="P193" s="50" t="str">
        <x:v>High</x:v>
      </x:c>
      <x:c r="Q193" s="47" t="str">
        <x:v>Removable-prosthesis group/keyword</x:v>
      </x:c>
      <x:c r="R193" s="47" t="str">
        <x:v>Exact catalogue translation</x:v>
      </x:c>
      <x:c r="S193" s="56" t="str">
        <x:v>No</x:v>
      </x:c>
      <x:c r="T193" s="46" t="str"/>
      <x:c r="U193" s="47" t="str"/>
      <x:c r="V193" s="46" t="str">
        <x:v>d0677e72aba4f7d</x:v>
      </x:c>
    </x:row>
    <x:row r="194">
      <x:c r="A194" s="46" t="str">
        <x:v>7</x:v>
      </x:c>
      <x:c r="B194" s="46" t="str">
        <x:v>86163</x:v>
      </x:c>
      <x:c r="C194" s="46" t="str">
        <x:v>Κινητή Προσθετική</x:v>
      </x:c>
      <x:c r="D194" s="47" t="str">
        <x:v>Πρόβα προσθίων</x:v>
      </x:c>
      <x:c r="E194" s="47" t="str">
        <x:v>Anterior-tooth try-in</x:v>
      </x:c>
      <x:c r="F194" s="47" t="str">
        <x:v>Frontzahnprobe</x:v>
      </x:c>
      <x:c r="G194" s="48" t="n">
        <x:v>0</x:v>
      </x:c>
      <x:c r="H194" s="46" t="str">
        <x:v>No</x:v>
      </x:c>
      <x:c r="I194" s="47" t="str">
        <x:v>Removable prosthesis</x:v>
      </x:c>
      <x:c r="J194" s="47" t="str">
        <x:v>Arch / removable components</x:v>
      </x:c>
      <x:c r="K194" s="47" t="str">
        <x:v>none</x:v>
      </x:c>
      <x:c r="L194" s="47" t="str">
        <x:v>removable-prosthesis</x:v>
      </x:c>
      <x:c r="M194" s="47" t="str">
        <x:v>Not specified</x:v>
      </x:c>
      <x:c r="N194" s="68" t="str">
        <x:v>#E08A1E</x:v>
      </x:c>
      <x:c r="O194" s="50" t="str">
        <x:v>High</x:v>
      </x:c>
      <x:c r="P194" s="50" t="str">
        <x:v>High</x:v>
      </x:c>
      <x:c r="Q194" s="47" t="str">
        <x:v>Removable-prosthesis group/keyword</x:v>
      </x:c>
      <x:c r="R194" s="47" t="str">
        <x:v>Exact catalogue translation</x:v>
      </x:c>
      <x:c r="S194" s="56" t="str">
        <x:v>No</x:v>
      </x:c>
      <x:c r="T194" s="46" t="str"/>
      <x:c r="U194" s="47" t="str"/>
      <x:c r="V194" s="46" t="str">
        <x:v>dbd6c3159adf78c</x:v>
      </x:c>
    </x:row>
    <x:row r="195">
      <x:c r="A195" s="46" t="str">
        <x:v>7</x:v>
      </x:c>
      <x:c r="B195" s="46" t="str">
        <x:v>86176</x:v>
      </x:c>
      <x:c r="C195" s="46" t="str">
        <x:v>Κινητή Προσθετική</x:v>
      </x:c>
      <x:c r="D195" s="47" t="str">
        <x:v>Πρόβα σκελετού</x:v>
      </x:c>
      <x:c r="E195" s="47" t="str">
        <x:v>Framework try-in</x:v>
      </x:c>
      <x:c r="F195" s="47" t="str">
        <x:v>Gerüsteinprobe</x:v>
      </x:c>
      <x:c r="G195" s="48" t="n">
        <x:v>0</x:v>
      </x:c>
      <x:c r="H195" s="46" t="str">
        <x:v>Unknown</x:v>
      </x:c>
      <x:c r="I195" s="47" t="str">
        <x:v>Removable prosthesis</x:v>
      </x:c>
      <x:c r="J195" s="47" t="str">
        <x:v>Arch / removable components</x:v>
      </x:c>
      <x:c r="K195" s="47" t="str">
        <x:v>none</x:v>
      </x:c>
      <x:c r="L195" s="47" t="str">
        <x:v>removable-prosthesis</x:v>
      </x:c>
      <x:c r="M195" s="47" t="str">
        <x:v>Not specified</x:v>
      </x:c>
      <x:c r="N195" s="68" t="str">
        <x:v>#E08A1E</x:v>
      </x:c>
      <x:c r="O195" s="50" t="str">
        <x:v>High</x:v>
      </x:c>
      <x:c r="P195" s="50" t="str">
        <x:v>High</x:v>
      </x:c>
      <x:c r="Q195" s="47" t="str">
        <x:v>Removable-prosthesis group/keyword</x:v>
      </x:c>
      <x:c r="R195" s="47" t="str">
        <x:v>Exact catalogue translation</x:v>
      </x:c>
      <x:c r="S195" s="56" t="str">
        <x:v>No</x:v>
      </x:c>
      <x:c r="T195" s="46" t="str"/>
      <x:c r="U195" s="47" t="str"/>
      <x:c r="V195" s="46" t="str">
        <x:v>dbde5185861eed4</x:v>
      </x:c>
    </x:row>
    <x:row r="196">
      <x:c r="A196" s="46" t="str">
        <x:v>7</x:v>
      </x:c>
      <x:c r="B196" s="46" t="str">
        <x:v>86178</x:v>
      </x:c>
      <x:c r="C196" s="46" t="str">
        <x:v>Κινητή Προσθετική</x:v>
      </x:c>
      <x:c r="D196" s="47" t="str">
        <x:v>Πρόβα σκελετού με τόξο καταγραφής</x:v>
      </x:c>
      <x:c r="E196" s="47" t="str">
        <x:v>Framework try-in with facebow</x:v>
      </x:c>
      <x:c r="F196" s="47" t="str">
        <x:v>Gerüsteinprobe mit Gesichtsbogen</x:v>
      </x:c>
      <x:c r="G196" s="48" t="n">
        <x:v>0</x:v>
      </x:c>
      <x:c r="H196" s="46" t="str">
        <x:v>Unknown</x:v>
      </x:c>
      <x:c r="I196" s="47" t="str">
        <x:v>Removable prosthesis</x:v>
      </x:c>
      <x:c r="J196" s="47" t="str">
        <x:v>Arch / removable components</x:v>
      </x:c>
      <x:c r="K196" s="47" t="str">
        <x:v>none</x:v>
      </x:c>
      <x:c r="L196" s="47" t="str">
        <x:v>removable-prosthesis</x:v>
      </x:c>
      <x:c r="M196" s="47" t="str">
        <x:v>Not specified</x:v>
      </x:c>
      <x:c r="N196" s="68" t="str">
        <x:v>#E08A1E</x:v>
      </x:c>
      <x:c r="O196" s="50" t="str">
        <x:v>High</x:v>
      </x:c>
      <x:c r="P196" s="50" t="str">
        <x:v>High</x:v>
      </x:c>
      <x:c r="Q196" s="47" t="str">
        <x:v>Removable-prosthesis group/keyword</x:v>
      </x:c>
      <x:c r="R196" s="47" t="str">
        <x:v>Exact catalogue translation</x:v>
      </x:c>
      <x:c r="S196" s="56" t="str">
        <x:v>No</x:v>
      </x:c>
      <x:c r="T196" s="46" t="str"/>
      <x:c r="U196" s="47" t="str"/>
      <x:c r="V196" s="46" t="str">
        <x:v>de877c8b586a024</x:v>
      </x:c>
    </x:row>
    <x:row r="197">
      <x:c r="A197" s="46" t="str">
        <x:v>7</x:v>
      </x:c>
      <x:c r="B197" s="46" t="str">
        <x:v>5032</x:v>
      </x:c>
      <x:c r="C197" s="46" t="str">
        <x:v>Κινητή Προσθετική</x:v>
      </x:c>
      <x:c r="D197" s="47" t="str">
        <x:v>Προσθήκη δοντιού οδοντοστοιχίας</x:v>
      </x:c>
      <x:c r="E197" s="47" t="str">
        <x:v>Addition of a denture tooth</x:v>
      </x:c>
      <x:c r="F197" s="47" t="str">
        <x:v>Erweiterung um einen Prothesenzahn</x:v>
      </x:c>
      <x:c r="G197" s="48" t="n">
        <x:v>30</x:v>
      </x:c>
      <x:c r="H197" s="46" t="str">
        <x:v>Unknown</x:v>
      </x:c>
      <x:c r="I197" s="47" t="str">
        <x:v>Removable prosthesis</x:v>
      </x:c>
      <x:c r="J197" s="47" t="str">
        <x:v>Arch / removable components</x:v>
      </x:c>
      <x:c r="K197" s="47" t="str">
        <x:v>none</x:v>
      </x:c>
      <x:c r="L197" s="47" t="str">
        <x:v>removable-prosthesis</x:v>
      </x:c>
      <x:c r="M197" s="47" t="str">
        <x:v>Not specified</x:v>
      </x:c>
      <x:c r="N197" s="68" t="str">
        <x:v>#E08A1E</x:v>
      </x:c>
      <x:c r="O197" s="55" t="str">
        <x:v>Medium</x:v>
      </x:c>
      <x:c r="P197" s="50" t="str">
        <x:v>High</x:v>
      </x:c>
      <x:c r="Q197" s="47" t="str">
        <x:v>Removable-prosthesis group/keyword</x:v>
      </x:c>
      <x:c r="R197" s="47" t="str">
        <x:v>Phrase-based clinical draft; language review recommended</x:v>
      </x:c>
      <x:c r="S197" s="56" t="str">
        <x:v>No</x:v>
      </x:c>
      <x:c r="T197" s="46" t="str"/>
      <x:c r="U197" s="47" t="str"/>
      <x:c r="V197" s="46" t="str">
        <x:v>d9f7213a19e477d</x:v>
      </x:c>
    </x:row>
    <x:row r="198">
      <x:c r="A198" s="46" t="str">
        <x:v>7</x:v>
      </x:c>
      <x:c r="B198" s="46" t="str">
        <x:v>86162</x:v>
      </x:c>
      <x:c r="C198" s="46" t="str">
        <x:v>Κινητή Προσθετική</x:v>
      </x:c>
      <x:c r="D198" s="47" t="str">
        <x:v>Τόξα καταγραφής / Relationsbestimmung</x:v>
      </x:c>
      <x:c r="E198" s="47" t="str">
        <x:v>Facebow records / jaw-relation registration</x:v>
      </x:c>
      <x:c r="F198" s="47" t="str">
        <x:v>Gesichtsbogen / Relationsbestimmung</x:v>
      </x:c>
      <x:c r="G198" s="48" t="n">
        <x:v>0</x:v>
      </x:c>
      <x:c r="H198" s="46" t="str">
        <x:v>No</x:v>
      </x:c>
      <x:c r="I198" s="47" t="str">
        <x:v>Removable prosthesis</x:v>
      </x:c>
      <x:c r="J198" s="47" t="str">
        <x:v>Arch / removable components</x:v>
      </x:c>
      <x:c r="K198" s="47" t="str">
        <x:v>none</x:v>
      </x:c>
      <x:c r="L198" s="47" t="str">
        <x:v>removable-prosthesis</x:v>
      </x:c>
      <x:c r="M198" s="47" t="str">
        <x:v>Not specified</x:v>
      </x:c>
      <x:c r="N198" s="68" t="str">
        <x:v>#E08A1E</x:v>
      </x:c>
      <x:c r="O198" s="50" t="str">
        <x:v>High</x:v>
      </x:c>
      <x:c r="P198" s="50" t="str">
        <x:v>High</x:v>
      </x:c>
      <x:c r="Q198" s="47" t="str">
        <x:v>Removable-prosthesis group/keyword</x:v>
      </x:c>
      <x:c r="R198" s="47" t="str">
        <x:v>Exact catalogue translation</x:v>
      </x:c>
      <x:c r="S198" s="56" t="str">
        <x:v>No</x:v>
      </x:c>
      <x:c r="T198" s="46" t="str"/>
      <x:c r="U198" s="47" t="str"/>
      <x:c r="V198" s="46" t="str">
        <x:v>d3e326e7604e9d8</x:v>
      </x:c>
    </x:row>
    <x:row r="199">
      <x:c r="A199" s="46" t="str">
        <x:v>7</x:v>
      </x:c>
      <x:c r="B199" s="46" t="str">
        <x:v>86195</x:v>
      </x:c>
      <x:c r="C199" s="46" t="str">
        <x:v>Κινητή Προσθετική</x:v>
      </x:c>
      <x:c r="D199" s="47" t="str">
        <x:v>Φλιπεράκι προσωρινό</x:v>
      </x:c>
      <x:c r="E199" s="47" t="str">
        <x:v>Temporary flipper</x:v>
      </x:c>
      <x:c r="F199" s="47" t="str">
        <x:v>Provisorischer Flipper</x:v>
      </x:c>
      <x:c r="G199" s="48" t="n">
        <x:v>70</x:v>
      </x:c>
      <x:c r="H199" s="46" t="str">
        <x:v>No</x:v>
      </x:c>
      <x:c r="I199" s="47" t="str">
        <x:v>Removable prosthesis</x:v>
      </x:c>
      <x:c r="J199" s="47" t="str">
        <x:v>Arch / removable components</x:v>
      </x:c>
      <x:c r="K199" s="47" t="str">
        <x:v>none</x:v>
      </x:c>
      <x:c r="L199" s="47" t="str">
        <x:v>removable-prosthesis</x:v>
      </x:c>
      <x:c r="M199" s="47" t="str">
        <x:v>Not specified</x:v>
      </x:c>
      <x:c r="N199" s="68" t="str">
        <x:v>#E08A1E</x:v>
      </x:c>
      <x:c r="O199" s="50" t="str">
        <x:v>High</x:v>
      </x:c>
      <x:c r="P199" s="50" t="str">
        <x:v>High</x:v>
      </x:c>
      <x:c r="Q199" s="47" t="str">
        <x:v>Removable-prosthesis group/keyword</x:v>
      </x:c>
      <x:c r="R199" s="47" t="str">
        <x:v>Exact catalogue translation</x:v>
      </x:c>
      <x:c r="S199" s="56" t="str">
        <x:v>No</x:v>
      </x:c>
      <x:c r="T199" s="46" t="str"/>
      <x:c r="U199" s="47" t="str"/>
      <x:c r="V199" s="46" t="str">
        <x:v>d7804dca05fa8d4</x:v>
      </x:c>
    </x:row>
    <x:row r="200">
      <x:c r="A200" s="46" t="str">
        <x:v>7</x:v>
      </x:c>
      <x:c r="B200" s="46" t="str">
        <x:v>86157</x:v>
      </x:c>
      <x:c r="C200" s="46" t="str">
        <x:v>Κινητή Προσθετική</x:v>
      </x:c>
      <x:c r="D200" s="47" t="str">
        <x:v>Attachment τύπου Ball Abutment</x:v>
      </x:c>
      <x:c r="E200" s="47" t="str">
        <x:v>Ball-abutment attachment</x:v>
      </x:c>
      <x:c r="F200" s="47" t="str">
        <x:v>Kugelkopfattachment</x:v>
      </x:c>
      <x:c r="G200" s="48" t="n">
        <x:v>250</x:v>
      </x:c>
      <x:c r="H200" s="46" t="str">
        <x:v>No</x:v>
      </x:c>
      <x:c r="I200" s="47" t="str">
        <x:v>Removable prosthesis</x:v>
      </x:c>
      <x:c r="J200" s="47" t="str">
        <x:v>Arch / removable components</x:v>
      </x:c>
      <x:c r="K200" s="47" t="str">
        <x:v>none</x:v>
      </x:c>
      <x:c r="L200" s="47" t="str">
        <x:v>removable-prosthesis</x:v>
      </x:c>
      <x:c r="M200" s="47" t="str">
        <x:v>Not specified</x:v>
      </x:c>
      <x:c r="N200" s="68" t="str">
        <x:v>#E08A1E</x:v>
      </x:c>
      <x:c r="O200" s="50" t="str">
        <x:v>High</x:v>
      </x:c>
      <x:c r="P200" s="50" t="str">
        <x:v>High</x:v>
      </x:c>
      <x:c r="Q200" s="47" t="str">
        <x:v>Removable-prosthesis group/keyword</x:v>
      </x:c>
      <x:c r="R200" s="47" t="str">
        <x:v>Exact catalogue translation</x:v>
      </x:c>
      <x:c r="S200" s="56" t="str">
        <x:v>No</x:v>
      </x:c>
      <x:c r="T200" s="46" t="str"/>
      <x:c r="U200" s="47" t="str"/>
      <x:c r="V200" s="46" t="str">
        <x:v>ddbc5bc21726a38</x:v>
      </x:c>
    </x:row>
    <x:row r="201">
      <x:c r="A201" s="46" t="str">
        <x:v>7</x:v>
      </x:c>
      <x:c r="B201" s="46" t="str">
        <x:v>86172</x:v>
      </x:c>
      <x:c r="C201" s="46" t="str">
        <x:v>Κινητή Προσθετική</x:v>
      </x:c>
      <x:c r="D201" s="47" t="str">
        <x:v>Ball Attachment για επένθετη</x:v>
      </x:c>
      <x:c r="E201" s="47" t="str">
        <x:v>Ball attachment for overdenture</x:v>
      </x:c>
      <x:c r="F201" s="47" t="str">
        <x:v>Kugelattachment für Deckprothese</x:v>
      </x:c>
      <x:c r="G201" s="48" t="n">
        <x:v>100</x:v>
      </x:c>
      <x:c r="H201" s="46" t="str">
        <x:v>Yes</x:v>
      </x:c>
      <x:c r="I201" s="47" t="str">
        <x:v>Removable prosthesis</x:v>
      </x:c>
      <x:c r="J201" s="47" t="str">
        <x:v>Arch / removable components</x:v>
      </x:c>
      <x:c r="K201" s="47" t="str">
        <x:v>none</x:v>
      </x:c>
      <x:c r="L201" s="47" t="str">
        <x:v>removable-prosthesis</x:v>
      </x:c>
      <x:c r="M201" s="47" t="str">
        <x:v>Not specified</x:v>
      </x:c>
      <x:c r="N201" s="68" t="str">
        <x:v>#E08A1E</x:v>
      </x:c>
      <x:c r="O201" s="50" t="str">
        <x:v>High</x:v>
      </x:c>
      <x:c r="P201" s="50" t="str">
        <x:v>High</x:v>
      </x:c>
      <x:c r="Q201" s="47" t="str">
        <x:v>Removable-prosthesis group/keyword</x:v>
      </x:c>
      <x:c r="R201" s="47" t="str">
        <x:v>Exact catalogue translation</x:v>
      </x:c>
      <x:c r="S201" s="56" t="str">
        <x:v>No</x:v>
      </x:c>
      <x:c r="T201" s="46" t="str"/>
      <x:c r="U201" s="47" t="str"/>
      <x:c r="V201" s="46" t="str">
        <x:v>d2329f6c361a1d1</x:v>
      </x:c>
    </x:row>
    <x:row r="202">
      <x:c r="A202" s="46" t="str">
        <x:v>7</x:v>
      </x:c>
      <x:c r="B202" s="46" t="str">
        <x:v>86225</x:v>
      </x:c>
      <x:c r="C202" s="46" t="str">
        <x:v>Κινητή Προσθετική</x:v>
      </x:c>
      <x:c r="D202" s="47" t="str">
        <x:v>Locator για Omnitaper</x:v>
      </x:c>
      <x:c r="E202" s="47" t="str">
        <x:v>Locator for Omnitaper</x:v>
      </x:c>
      <x:c r="F202" s="47" t="str">
        <x:v>Locator für Omnitaper</x:v>
      </x:c>
      <x:c r="G202" s="48" t="n">
        <x:v>200</x:v>
      </x:c>
      <x:c r="H202" s="46" t="str">
        <x:v>No</x:v>
      </x:c>
      <x:c r="I202" s="47" t="str">
        <x:v>Removable prosthesis</x:v>
      </x:c>
      <x:c r="J202" s="47" t="str">
        <x:v>Arch / removable components</x:v>
      </x:c>
      <x:c r="K202" s="47" t="str">
        <x:v>none</x:v>
      </x:c>
      <x:c r="L202" s="47" t="str">
        <x:v>removable-prosthesis</x:v>
      </x:c>
      <x:c r="M202" s="47" t="str">
        <x:v>Not specified</x:v>
      </x:c>
      <x:c r="N202" s="68" t="str">
        <x:v>#E08A1E</x:v>
      </x:c>
      <x:c r="O202" s="50" t="str">
        <x:v>High</x:v>
      </x:c>
      <x:c r="P202" s="50" t="str">
        <x:v>High</x:v>
      </x:c>
      <x:c r="Q202" s="47" t="str">
        <x:v>Removable-prosthesis group/keyword</x:v>
      </x:c>
      <x:c r="R202" s="47" t="str">
        <x:v>Exact catalogue translation</x:v>
      </x:c>
      <x:c r="S202" s="56" t="str">
        <x:v>No</x:v>
      </x:c>
      <x:c r="T202" s="46" t="str"/>
      <x:c r="U202" s="47" t="str"/>
      <x:c r="V202" s="46" t="str">
        <x:v>db3e555421ad664</x:v>
      </x:c>
    </x:row>
    <x:row r="203">
      <x:c r="A203" s="46" t="str">
        <x:v>7</x:v>
      </x:c>
      <x:c r="B203" s="46" t="str">
        <x:v>86224</x:v>
      </x:c>
      <x:c r="C203" s="46" t="str">
        <x:v>Κινητή Προσθετική</x:v>
      </x:c>
      <x:c r="D203" s="47" t="str">
        <x:v>Locator για Paltop</x:v>
      </x:c>
      <x:c r="E203" s="47" t="str">
        <x:v>Locator for Paltop</x:v>
      </x:c>
      <x:c r="F203" s="47" t="str">
        <x:v>Locator für Paltop</x:v>
      </x:c>
      <x:c r="G203" s="48" t="n">
        <x:v>150</x:v>
      </x:c>
      <x:c r="H203" s="46" t="str">
        <x:v>No</x:v>
      </x:c>
      <x:c r="I203" s="47" t="str">
        <x:v>Removable prosthesis</x:v>
      </x:c>
      <x:c r="J203" s="47" t="str">
        <x:v>Arch / removable components</x:v>
      </x:c>
      <x:c r="K203" s="47" t="str">
        <x:v>none</x:v>
      </x:c>
      <x:c r="L203" s="47" t="str">
        <x:v>removable-prosthesis</x:v>
      </x:c>
      <x:c r="M203" s="47" t="str">
        <x:v>Not specified</x:v>
      </x:c>
      <x:c r="N203" s="68" t="str">
        <x:v>#E08A1E</x:v>
      </x:c>
      <x:c r="O203" s="50" t="str">
        <x:v>High</x:v>
      </x:c>
      <x:c r="P203" s="50" t="str">
        <x:v>High</x:v>
      </x:c>
      <x:c r="Q203" s="47" t="str">
        <x:v>Removable-prosthesis group/keyword</x:v>
      </x:c>
      <x:c r="R203" s="47" t="str">
        <x:v>Exact catalogue translation</x:v>
      </x:c>
      <x:c r="S203" s="56" t="str">
        <x:v>No</x:v>
      </x:c>
      <x:c r="T203" s="46" t="str"/>
      <x:c r="U203" s="47" t="str"/>
      <x:c r="V203" s="46" t="str">
        <x:v>d8d8d4377d41acf</x:v>
      </x:c>
    </x:row>
    <x:row r="204">
      <x:c r="A204" s="46" t="str">
        <x:v>9</x:v>
      </x:c>
      <x:c r="B204" s="46" t="str">
        <x:v>4981</x:v>
      </x:c>
      <x:c r="C204" s="46" t="str">
        <x:v>Περιοδοντολογία</x:v>
      </x:c>
      <x:c r="D204" s="47" t="str">
        <x:v>ΑΠΟΚΑΛΥΨΗ ΚΛΙΝΙΚΗΣ ΜΥΛΗΣ</x:v>
      </x:c>
      <x:c r="E204" s="47" t="str">
        <x:v>Clinical crown exposure</x:v>
      </x:c>
      <x:c r="F204" s="47" t="str">
        <x:v>Freilegung der klinischen Krone</x:v>
      </x:c>
      <x:c r="G204" s="48" t="n">
        <x:v>0</x:v>
      </x:c>
      <x:c r="H204" s="46" t="str">
        <x:v>Unknown</x:v>
      </x:c>
      <x:c r="I204" s="47" t="str">
        <x:v>Patient-level / history only</x:v>
      </x:c>
      <x:c r="J204" s="47" t="str">
        <x:v>Patient / quadrant / periodontal chart</x:v>
      </x:c>
      <x:c r="K204" s="47" t="str">
        <x:v>none</x:v>
      </x:c>
      <x:c r="L204" s="47" t="str">
        <x:v>periodontal</x:v>
      </x:c>
      <x:c r="M204" s="47" t="str">
        <x:v>Not specified</x:v>
      </x:c>
      <x:c r="N204" s="70" t="str">
        <x:v>#B34FA2</x:v>
      </x:c>
      <x:c r="O204" s="50" t="str">
        <x:v>High</x:v>
      </x:c>
      <x:c r="P204" s="55" t="str">
        <x:v>Medium</x:v>
      </x:c>
      <x:c r="Q204" s="47" t="str">
        <x:v>Periodontology group; exact target varies</x:v>
      </x:c>
      <x:c r="R204" s="47" t="str">
        <x:v>Exact catalogue translation</x:v>
      </x:c>
      <x:c r="S204" s="52" t="str">
        <x:v>Yes</x:v>
      </x:c>
      <x:c r="T204" s="46" t="str"/>
      <x:c r="U204" s="47" t="str"/>
      <x:c r="V204" s="46" t="str">
        <x:v>d0ec0f981caeb49</x:v>
      </x:c>
    </x:row>
    <x:row r="205">
      <x:c r="A205" s="46" t="str">
        <x:v>9</x:v>
      </x:c>
      <x:c r="B205" s="46" t="str">
        <x:v>86114</x:v>
      </x:c>
      <x:c r="C205" s="46" t="str">
        <x:v>Περιοδοντολογία</x:v>
      </x:c>
      <x:c r="D205" s="47" t="str">
        <x:v>Απόξεση οδόντος</x:v>
      </x:c>
      <x:c r="E205" s="47" t="str">
        <x:v>Scaling/root planing of tooth</x:v>
      </x:c>
      <x:c r="F205" s="47" t="str">
        <x:v>Scaling/Wurzelglättung am Zahn</x:v>
      </x:c>
      <x:c r="G205" s="48" t="n">
        <x:v>0</x:v>
      </x:c>
      <x:c r="H205" s="46" t="str">
        <x:v>Unknown</x:v>
      </x:c>
      <x:c r="I205" s="47" t="str">
        <x:v>Patient-level / history only</x:v>
      </x:c>
      <x:c r="J205" s="47" t="str">
        <x:v>Patient / quadrant / periodontal chart</x:v>
      </x:c>
      <x:c r="K205" s="47" t="str">
        <x:v>none</x:v>
      </x:c>
      <x:c r="L205" s="47" t="str">
        <x:v>periodontal</x:v>
      </x:c>
      <x:c r="M205" s="47" t="str">
        <x:v>Not specified</x:v>
      </x:c>
      <x:c r="N205" s="70" t="str">
        <x:v>#B34FA2</x:v>
      </x:c>
      <x:c r="O205" s="50" t="str">
        <x:v>High</x:v>
      </x:c>
      <x:c r="P205" s="55" t="str">
        <x:v>Medium</x:v>
      </x:c>
      <x:c r="Q205" s="47" t="str">
        <x:v>Periodontology group; exact target varies</x:v>
      </x:c>
      <x:c r="R205" s="47" t="str">
        <x:v>Exact catalogue translation</x:v>
      </x:c>
      <x:c r="S205" s="52" t="str">
        <x:v>Yes</x:v>
      </x:c>
      <x:c r="T205" s="46" t="str"/>
      <x:c r="U205" s="47" t="str"/>
      <x:c r="V205" s="46" t="str">
        <x:v>d3fcbcbccf9172c</x:v>
      </x:c>
    </x:row>
    <x:row r="206">
      <x:c r="A206" s="46" t="str">
        <x:v>9</x:v>
      </x:c>
      <x:c r="B206" s="46" t="str">
        <x:v>86090</x:v>
      </x:c>
      <x:c r="C206" s="46" t="str">
        <x:v>Περιοδοντολογία</x:v>
      </x:c>
      <x:c r="D206" s="47" t="str">
        <x:v>Θεραπεία γεν. περιοδοντίτιδας</x:v>
      </x:c>
      <x:c r="E206" s="47" t="str">
        <x:v>Treatment of generalized periodontitis</x:v>
      </x:c>
      <x:c r="F206" s="47" t="str">
        <x:v>Behandlung der generalisierten Parodontitis</x:v>
      </x:c>
      <x:c r="G206" s="48" t="n">
        <x:v>300</x:v>
      </x:c>
      <x:c r="H206" s="46" t="str">
        <x:v>No</x:v>
      </x:c>
      <x:c r="I206" s="47" t="str">
        <x:v>Patient-level / history only</x:v>
      </x:c>
      <x:c r="J206" s="47" t="str">
        <x:v>Patient / quadrant / periodontal chart</x:v>
      </x:c>
      <x:c r="K206" s="47" t="str">
        <x:v>none</x:v>
      </x:c>
      <x:c r="L206" s="47" t="str">
        <x:v>periodontal</x:v>
      </x:c>
      <x:c r="M206" s="47" t="str">
        <x:v>Not specified</x:v>
      </x:c>
      <x:c r="N206" s="70" t="str">
        <x:v>#B34FA2</x:v>
      </x:c>
      <x:c r="O206" s="51" t="str">
        <x:v>Needs review</x:v>
      </x:c>
      <x:c r="P206" s="55" t="str">
        <x:v>Medium</x:v>
      </x:c>
      <x:c r="Q206" s="47" t="str">
        <x:v>Periodontology group; exact target varies</x:v>
      </x:c>
      <x:c r="R206" s="47" t="str">
        <x:v>Legacy abbreviation γεν. should be confirmed</x:v>
      </x:c>
      <x:c r="S206" s="52" t="str">
        <x:v>Yes</x:v>
      </x:c>
      <x:c r="T206" s="46" t="str"/>
      <x:c r="U206" s="47" t="str"/>
      <x:c r="V206" s="46" t="str">
        <x:v>d9b7e0d7eb976f3</x:v>
      </x:c>
    </x:row>
    <x:row r="207">
      <x:c r="A207" s="46" t="str">
        <x:v>9</x:v>
      </x:c>
      <x:c r="B207" s="46" t="str">
        <x:v>5009</x:v>
      </x:c>
      <x:c r="C207" s="46" t="str">
        <x:v>Περιοδοντολογία</x:v>
      </x:c>
      <x:c r="D207" s="47" t="str">
        <x:v>ΘΕΡΑΠΕΙΑ ΓΕΝΙΚΕΥΜΕΝΗΣ ΧΡ.ΟΥΛΙ</x:v>
      </x:c>
      <x:c r="E207" s="47" t="str">
        <x:v>Treatment of generalized chronic gingivitis</x:v>
      </x:c>
      <x:c r="F207" s="47" t="str">
        <x:v>Behandlung der generalisierten chronischen Gingivitis</x:v>
      </x:c>
      <x:c r="G207" s="48" t="n">
        <x:v>60</x:v>
      </x:c>
      <x:c r="H207" s="46" t="str">
        <x:v>Unknown</x:v>
      </x:c>
      <x:c r="I207" s="47" t="str">
        <x:v>Patient-level / history only</x:v>
      </x:c>
      <x:c r="J207" s="47" t="str">
        <x:v>Patient / quadrant / periodontal chart</x:v>
      </x:c>
      <x:c r="K207" s="47" t="str">
        <x:v>none</x:v>
      </x:c>
      <x:c r="L207" s="47" t="str">
        <x:v>periodontal</x:v>
      </x:c>
      <x:c r="M207" s="47" t="str">
        <x:v>Not specified</x:v>
      </x:c>
      <x:c r="N207" s="70" t="str">
        <x:v>#B34FA2</x:v>
      </x:c>
      <x:c r="O207" s="50" t="str">
        <x:v>High</x:v>
      </x:c>
      <x:c r="P207" s="55" t="str">
        <x:v>Medium</x:v>
      </x:c>
      <x:c r="Q207" s="47" t="str">
        <x:v>Periodontology group; exact target varies</x:v>
      </x:c>
      <x:c r="R207" s="47" t="str">
        <x:v>Exact catalogue translation</x:v>
      </x:c>
      <x:c r="S207" s="52" t="str">
        <x:v>Yes</x:v>
      </x:c>
      <x:c r="T207" s="46" t="str"/>
      <x:c r="U207" s="47" t="str"/>
      <x:c r="V207" s="46" t="str">
        <x:v>dd9da5c5ddfa2c4</x:v>
      </x:c>
    </x:row>
    <x:row r="208">
      <x:c r="A208" s="46" t="str">
        <x:v>9</x:v>
      </x:c>
      <x:c r="B208" s="46" t="str">
        <x:v>5007</x:v>
      </x:c>
      <x:c r="C208" s="46" t="str">
        <x:v>Περιοδοντολογία</x:v>
      </x:c>
      <x:c r="D208" s="47" t="str">
        <x:v>ΘΕΡΑΠΕΙΑ ΕΝΤΟΠΙΣΜΕΝΗΣ ΟΥΛΙΤΙΔΑ</x:v>
      </x:c>
      <x:c r="E208" s="47" t="str">
        <x:v>Treatment of localized gingivitis</x:v>
      </x:c>
      <x:c r="F208" s="47" t="str">
        <x:v>Behandlung der lokalisierten Gingivitis</x:v>
      </x:c>
      <x:c r="G208" s="48" t="n">
        <x:v>50</x:v>
      </x:c>
      <x:c r="H208" s="46" t="str">
        <x:v>Unknown</x:v>
      </x:c>
      <x:c r="I208" s="47" t="str">
        <x:v>Patient-level / history only</x:v>
      </x:c>
      <x:c r="J208" s="47" t="str">
        <x:v>Patient / quadrant / periodontal chart</x:v>
      </x:c>
      <x:c r="K208" s="47" t="str">
        <x:v>none</x:v>
      </x:c>
      <x:c r="L208" s="47" t="str">
        <x:v>periodontal</x:v>
      </x:c>
      <x:c r="M208" s="47" t="str">
        <x:v>Not specified</x:v>
      </x:c>
      <x:c r="N208" s="70" t="str">
        <x:v>#B34FA2</x:v>
      </x:c>
      <x:c r="O208" s="50" t="str">
        <x:v>High</x:v>
      </x:c>
      <x:c r="P208" s="55" t="str">
        <x:v>Medium</x:v>
      </x:c>
      <x:c r="Q208" s="47" t="str">
        <x:v>Periodontology group; exact target varies</x:v>
      </x:c>
      <x:c r="R208" s="47" t="str">
        <x:v>Exact catalogue translation</x:v>
      </x:c>
      <x:c r="S208" s="52" t="str">
        <x:v>Yes</x:v>
      </x:c>
      <x:c r="T208" s="46" t="str"/>
      <x:c r="U208" s="47" t="str"/>
      <x:c r="V208" s="46" t="str">
        <x:v>df6fe368cc9222b</x:v>
      </x:c>
    </x:row>
    <x:row r="209">
      <x:c r="A209" s="46" t="str">
        <x:v>9</x:v>
      </x:c>
      <x:c r="B209" s="46" t="str">
        <x:v>5008</x:v>
      </x:c>
      <x:c r="C209" s="46" t="str">
        <x:v>Περιοδοντολογία</x:v>
      </x:c>
      <x:c r="D209" s="47" t="str">
        <x:v>ΘΕΡΑΠΕΙΑ ΟΥΛΙΤΙΔΟΣ</x:v>
      </x:c>
      <x:c r="E209" s="47" t="str">
        <x:v>Gingivitis treatment</x:v>
      </x:c>
      <x:c r="F209" s="47" t="str">
        <x:v>Gingivitisbehandlung</x:v>
      </x:c>
      <x:c r="G209" s="48" t="n">
        <x:v>45</x:v>
      </x:c>
      <x:c r="H209" s="46" t="str">
        <x:v>Unknown</x:v>
      </x:c>
      <x:c r="I209" s="47" t="str">
        <x:v>Patient-level / history only</x:v>
      </x:c>
      <x:c r="J209" s="47" t="str">
        <x:v>Patient / quadrant / periodontal chart</x:v>
      </x:c>
      <x:c r="K209" s="47" t="str">
        <x:v>none</x:v>
      </x:c>
      <x:c r="L209" s="47" t="str">
        <x:v>periodontal</x:v>
      </x:c>
      <x:c r="M209" s="47" t="str">
        <x:v>Not specified</x:v>
      </x:c>
      <x:c r="N209" s="70" t="str">
        <x:v>#B34FA2</x:v>
      </x:c>
      <x:c r="O209" s="50" t="str">
        <x:v>High</x:v>
      </x:c>
      <x:c r="P209" s="55" t="str">
        <x:v>Medium</x:v>
      </x:c>
      <x:c r="Q209" s="47" t="str">
        <x:v>Periodontology group; exact target varies</x:v>
      </x:c>
      <x:c r="R209" s="47" t="str">
        <x:v>Exact catalogue translation</x:v>
      </x:c>
      <x:c r="S209" s="52" t="str">
        <x:v>Yes</x:v>
      </x:c>
      <x:c r="T209" s="46" t="str"/>
      <x:c r="U209" s="47" t="str"/>
      <x:c r="V209" s="46" t="str">
        <x:v>d0c7b65c36490b5</x:v>
      </x:c>
    </x:row>
    <x:row r="210">
      <x:c r="A210" s="46" t="str">
        <x:v>9</x:v>
      </x:c>
      <x:c r="B210" s="46" t="str">
        <x:v>5012</x:v>
      </x:c>
      <x:c r="C210" s="46" t="str">
        <x:v>Περιοδοντολογία</x:v>
      </x:c>
      <x:c r="D210" s="47" t="str">
        <x:v>ΘΕΡΑΠΕΙΑ ΧΕΙΡ. ΠΕΡΙΟΔΟΝΤ. Α ΤΕ</x:v>
      </x:c>
      <x:c r="E210" s="47" t="str">
        <x:v>Periodontal surgical treatment (legacy abbreviation)</x:v>
      </x:c>
      <x:c r="F210" s="47" t="str">
        <x:v>Parodontalchirurgische Behandlung (alte Kurzbezeichnung)</x:v>
      </x:c>
      <x:c r="G210" s="48" t="n">
        <x:v>150</x:v>
      </x:c>
      <x:c r="H210" s="46" t="str">
        <x:v>Unknown</x:v>
      </x:c>
      <x:c r="I210" s="47" t="str">
        <x:v>Patient-level / history only</x:v>
      </x:c>
      <x:c r="J210" s="47" t="str">
        <x:v>Patient / quadrant / periodontal chart</x:v>
      </x:c>
      <x:c r="K210" s="47" t="str">
        <x:v>none</x:v>
      </x:c>
      <x:c r="L210" s="47" t="str">
        <x:v>periodontal</x:v>
      </x:c>
      <x:c r="M210" s="47" t="str">
        <x:v>Not specified</x:v>
      </x:c>
      <x:c r="N210" s="70" t="str">
        <x:v>#B34FA2</x:v>
      </x:c>
      <x:c r="O210" s="50" t="str">
        <x:v>High</x:v>
      </x:c>
      <x:c r="P210" s="55" t="str">
        <x:v>Medium</x:v>
      </x:c>
      <x:c r="Q210" s="47" t="str">
        <x:v>Periodontology group; exact target varies</x:v>
      </x:c>
      <x:c r="R210" s="47" t="str">
        <x:v>Exact catalogue translation</x:v>
      </x:c>
      <x:c r="S210" s="52" t="str">
        <x:v>Yes</x:v>
      </x:c>
      <x:c r="T210" s="46" t="str"/>
      <x:c r="U210" s="47" t="str"/>
      <x:c r="V210" s="46" t="str">
        <x:v>da2938afaa259e4</x:v>
      </x:c>
    </x:row>
    <x:row r="211">
      <x:c r="A211" s="46" t="str">
        <x:v>9</x:v>
      </x:c>
      <x:c r="B211" s="46" t="str">
        <x:v>86112</x:v>
      </x:c>
      <x:c r="C211" s="46" t="str">
        <x:v>Περιοδοντολογία</x:v>
      </x:c>
      <x:c r="D211" s="47" t="str">
        <x:v>Μέτρηση / Περιοδοντόγραμμα</x:v>
      </x:c>
      <x:c r="E211" s="47" t="str">
        <x:v>Periodontal charting</x:v>
      </x:c>
      <x:c r="F211" s="47" t="str">
        <x:v>Parodontalstatus</x:v>
      </x:c>
      <x:c r="G211" s="48" t="n">
        <x:v>0</x:v>
      </x:c>
      <x:c r="H211" s="46" t="str">
        <x:v>Unknown</x:v>
      </x:c>
      <x:c r="I211" s="47" t="str">
        <x:v>Patient-level / history only</x:v>
      </x:c>
      <x:c r="J211" s="47" t="str">
        <x:v>Patient / quadrant / periodontal chart</x:v>
      </x:c>
      <x:c r="K211" s="47" t="str">
        <x:v>none</x:v>
      </x:c>
      <x:c r="L211" s="47" t="str">
        <x:v>periodontal</x:v>
      </x:c>
      <x:c r="M211" s="47" t="str">
        <x:v>Not specified</x:v>
      </x:c>
      <x:c r="N211" s="70" t="str">
        <x:v>#B34FA2</x:v>
      </x:c>
      <x:c r="O211" s="55" t="str">
        <x:v>Medium</x:v>
      </x:c>
      <x:c r="P211" s="55" t="str">
        <x:v>Medium</x:v>
      </x:c>
      <x:c r="Q211" s="47" t="str">
        <x:v>Periodontology group; exact target varies</x:v>
      </x:c>
      <x:c r="R211" s="47" t="str">
        <x:v>Phrase-based clinical draft; language review recommended</x:v>
      </x:c>
      <x:c r="S211" s="52" t="str">
        <x:v>Yes</x:v>
      </x:c>
      <x:c r="T211" s="46" t="str"/>
      <x:c r="U211" s="47" t="str"/>
      <x:c r="V211" s="46" t="str">
        <x:v>da173e2d5136a05</x:v>
      </x:c>
    </x:row>
    <x:row r="212">
      <x:c r="A212" s="46" t="str">
        <x:v>9</x:v>
      </x:c>
      <x:c r="B212" s="46" t="str">
        <x:v>5018</x:v>
      </x:c>
      <x:c r="C212" s="46" t="str">
        <x:v>Περιοδοντολογία</x:v>
      </x:c>
      <x:c r="D212" s="47" t="str">
        <x:v>ΜΟΣΧΕΥΜΑΤΑ</x:v>
      </x:c>
      <x:c r="E212" s="47" t="str">
        <x:v>Grafts</x:v>
      </x:c>
      <x:c r="F212" s="47" t="str">
        <x:v>Transplantate</x:v>
      </x:c>
      <x:c r="G212" s="48" t="n">
        <x:v>200</x:v>
      </x:c>
      <x:c r="H212" s="46" t="str">
        <x:v>Unknown</x:v>
      </x:c>
      <x:c r="I212" s="47" t="str">
        <x:v>Patient-level / history only</x:v>
      </x:c>
      <x:c r="J212" s="47" t="str">
        <x:v>Patient / quadrant / periodontal chart</x:v>
      </x:c>
      <x:c r="K212" s="47" t="str">
        <x:v>none</x:v>
      </x:c>
      <x:c r="L212" s="47" t="str">
        <x:v>periodontal</x:v>
      </x:c>
      <x:c r="M212" s="47" t="str">
        <x:v>Not specified</x:v>
      </x:c>
      <x:c r="N212" s="70" t="str">
        <x:v>#B34FA2</x:v>
      </x:c>
      <x:c r="O212" s="50" t="str">
        <x:v>High</x:v>
      </x:c>
      <x:c r="P212" s="55" t="str">
        <x:v>Medium</x:v>
      </x:c>
      <x:c r="Q212" s="47" t="str">
        <x:v>Periodontology group; exact target varies</x:v>
      </x:c>
      <x:c r="R212" s="47" t="str">
        <x:v>Exact catalogue translation</x:v>
      </x:c>
      <x:c r="S212" s="52" t="str">
        <x:v>Yes</x:v>
      </x:c>
      <x:c r="T212" s="46" t="str"/>
      <x:c r="U212" s="47" t="str"/>
      <x:c r="V212" s="46" t="str">
        <x:v>d8e2f39e1b42663</x:v>
      </x:c>
    </x:row>
    <x:row r="213">
      <x:c r="A213" s="46" t="str">
        <x:v>9</x:v>
      </x:c>
      <x:c r="B213" s="46" t="str">
        <x:v>5011</x:v>
      </x:c>
      <x:c r="C213" s="46" t="str">
        <x:v>Περιοδοντολογία</x:v>
      </x:c>
      <x:c r="D213" s="47" t="str">
        <x:v>Ναρθηκοποίηση</x:v>
      </x:c>
      <x:c r="E213" s="47" t="str">
        <x:v>Splinting</x:v>
      </x:c>
      <x:c r="F213" s="47" t="str">
        <x:v>Schienung</x:v>
      </x:c>
      <x:c r="G213" s="48" t="n">
        <x:v>40</x:v>
      </x:c>
      <x:c r="H213" s="46" t="str">
        <x:v>No</x:v>
      </x:c>
      <x:c r="I213" s="47" t="str">
        <x:v>Patient-level / history only</x:v>
      </x:c>
      <x:c r="J213" s="47" t="str">
        <x:v>Patient / quadrant / periodontal chart</x:v>
      </x:c>
      <x:c r="K213" s="47" t="str">
        <x:v>none</x:v>
      </x:c>
      <x:c r="L213" s="47" t="str">
        <x:v>periodontal</x:v>
      </x:c>
      <x:c r="M213" s="47" t="str">
        <x:v>Not specified</x:v>
      </x:c>
      <x:c r="N213" s="70" t="str">
        <x:v>#B34FA2</x:v>
      </x:c>
      <x:c r="O213" s="55" t="str">
        <x:v>Medium</x:v>
      </x:c>
      <x:c r="P213" s="55" t="str">
        <x:v>Medium</x:v>
      </x:c>
      <x:c r="Q213" s="47" t="str">
        <x:v>Periodontology group; exact target varies</x:v>
      </x:c>
      <x:c r="R213" s="47" t="str">
        <x:v>Phrase-based clinical draft; language review recommended</x:v>
      </x:c>
      <x:c r="S213" s="52" t="str">
        <x:v>Yes</x:v>
      </x:c>
      <x:c r="T213" s="46" t="str"/>
      <x:c r="U213" s="47" t="str"/>
      <x:c r="V213" s="46" t="str">
        <x:v>d5419e59512f1a7</x:v>
      </x:c>
    </x:row>
    <x:row r="214">
      <x:c r="A214" s="46" t="str">
        <x:v>9</x:v>
      </x:c>
      <x:c r="B214" s="46" t="str">
        <x:v>5026</x:v>
      </x:c>
      <x:c r="C214" s="46" t="str">
        <x:v>Περιοδοντολογία</x:v>
      </x:c>
      <x:c r="D214" s="47" t="str">
        <x:v>ΟΥΛΕΚΤΟΜΗ</x:v>
      </x:c>
      <x:c r="E214" s="47" t="str">
        <x:v>Gingivectomy</x:v>
      </x:c>
      <x:c r="F214" s="47" t="str">
        <x:v>Gingivektomie</x:v>
      </x:c>
      <x:c r="G214" s="48" t="n">
        <x:v>0</x:v>
      </x:c>
      <x:c r="H214" s="46" t="str">
        <x:v>Unknown</x:v>
      </x:c>
      <x:c r="I214" s="47" t="str">
        <x:v>Patient-level / history only</x:v>
      </x:c>
      <x:c r="J214" s="47" t="str">
        <x:v>Patient / quadrant / periodontal chart</x:v>
      </x:c>
      <x:c r="K214" s="47" t="str">
        <x:v>none</x:v>
      </x:c>
      <x:c r="L214" s="47" t="str">
        <x:v>periodontal</x:v>
      </x:c>
      <x:c r="M214" s="47" t="str">
        <x:v>Not specified</x:v>
      </x:c>
      <x:c r="N214" s="70" t="str">
        <x:v>#B34FA2</x:v>
      </x:c>
      <x:c r="O214" s="50" t="str">
        <x:v>High</x:v>
      </x:c>
      <x:c r="P214" s="55" t="str">
        <x:v>Medium</x:v>
      </x:c>
      <x:c r="Q214" s="47" t="str">
        <x:v>Periodontology group; exact target varies</x:v>
      </x:c>
      <x:c r="R214" s="47" t="str">
        <x:v>Exact catalogue translation</x:v>
      </x:c>
      <x:c r="S214" s="52" t="str">
        <x:v>Yes</x:v>
      </x:c>
      <x:c r="T214" s="46" t="str"/>
      <x:c r="U214" s="47" t="str"/>
      <x:c r="V214" s="46" t="str">
        <x:v>d528cec47ec78cd</x:v>
      </x:c>
    </x:row>
    <x:row r="215">
      <x:c r="A215" s="46" t="str">
        <x:v>9</x:v>
      </x:c>
      <x:c r="B215" s="46" t="str">
        <x:v>5028</x:v>
      </x:c>
      <x:c r="C215" s="46" t="str">
        <x:v>Περιοδοντολογία</x:v>
      </x:c>
      <x:c r="D215" s="47" t="str">
        <x:v>ΠΕΡΙΟΔΟΝΤΙΤΙΔΑ ΑΡΧΟΜΕΝΗ</x:v>
      </x:c>
      <x:c r="E215" s="47" t="str">
        <x:v>Early periodontitis</x:v>
      </x:c>
      <x:c r="F215" s="47" t="str">
        <x:v>Beginnende Parodontitis</x:v>
      </x:c>
      <x:c r="G215" s="48" t="n">
        <x:v>350</x:v>
      </x:c>
      <x:c r="H215" s="46" t="str">
        <x:v>Unknown</x:v>
      </x:c>
      <x:c r="I215" s="47" t="str">
        <x:v>Patient-level / history only</x:v>
      </x:c>
      <x:c r="J215" s="47" t="str">
        <x:v>Patient / quadrant / periodontal chart</x:v>
      </x:c>
      <x:c r="K215" s="47" t="str">
        <x:v>none</x:v>
      </x:c>
      <x:c r="L215" s="47" t="str">
        <x:v>periodontal</x:v>
      </x:c>
      <x:c r="M215" s="47" t="str">
        <x:v>Not specified</x:v>
      </x:c>
      <x:c r="N215" s="70" t="str">
        <x:v>#B34FA2</x:v>
      </x:c>
      <x:c r="O215" s="50" t="str">
        <x:v>High</x:v>
      </x:c>
      <x:c r="P215" s="55" t="str">
        <x:v>Medium</x:v>
      </x:c>
      <x:c r="Q215" s="47" t="str">
        <x:v>Periodontology group; exact target varies</x:v>
      </x:c>
      <x:c r="R215" s="47" t="str">
        <x:v>Exact catalogue translation</x:v>
      </x:c>
      <x:c r="S215" s="52" t="str">
        <x:v>Yes</x:v>
      </x:c>
      <x:c r="T215" s="46" t="str"/>
      <x:c r="U215" s="47" t="str"/>
      <x:c r="V215" s="46" t="str">
        <x:v>d5e6f49a23c72cf</x:v>
      </x:c>
    </x:row>
    <x:row r="216">
      <x:c r="A216" s="46" t="str">
        <x:v>9</x:v>
      </x:c>
      <x:c r="B216" s="46" t="str">
        <x:v>5029</x:v>
      </x:c>
      <x:c r="C216" s="46" t="str">
        <x:v>Περιοδοντολογία</x:v>
      </x:c>
      <x:c r="D216" s="47" t="str">
        <x:v>ΠΕΡΙΟΔΟΝΤΙΤΙΔΑ ΜΕΤΡΙΑΣ ΒΑΡΥΤΗΤΑΣ</x:v>
      </x:c>
      <x:c r="E216" s="47" t="str">
        <x:v>Moderate periodontitis</x:v>
      </x:c>
      <x:c r="F216" s="47" t="str">
        <x:v>Mittelschwere Parodontitis</x:v>
      </x:c>
      <x:c r="G216" s="48" t="n">
        <x:v>500</x:v>
      </x:c>
      <x:c r="H216" s="46" t="str">
        <x:v>Unknown</x:v>
      </x:c>
      <x:c r="I216" s="47" t="str">
        <x:v>Patient-level / history only</x:v>
      </x:c>
      <x:c r="J216" s="47" t="str">
        <x:v>Patient / quadrant / periodontal chart</x:v>
      </x:c>
      <x:c r="K216" s="47" t="str">
        <x:v>none</x:v>
      </x:c>
      <x:c r="L216" s="47" t="str">
        <x:v>periodontal</x:v>
      </x:c>
      <x:c r="M216" s="47" t="str">
        <x:v>Not specified</x:v>
      </x:c>
      <x:c r="N216" s="70" t="str">
        <x:v>#B34FA2</x:v>
      </x:c>
      <x:c r="O216" s="50" t="str">
        <x:v>High</x:v>
      </x:c>
      <x:c r="P216" s="55" t="str">
        <x:v>Medium</x:v>
      </x:c>
      <x:c r="Q216" s="47" t="str">
        <x:v>Periodontology group; exact target varies</x:v>
      </x:c>
      <x:c r="R216" s="47" t="str">
        <x:v>Exact catalogue translation</x:v>
      </x:c>
      <x:c r="S216" s="52" t="str">
        <x:v>Yes</x:v>
      </x:c>
      <x:c r="T216" s="46" t="str"/>
      <x:c r="U216" s="47" t="str"/>
      <x:c r="V216" s="46" t="str">
        <x:v>dc5ed550e1e2352</x:v>
      </x:c>
    </x:row>
    <x:row r="217">
      <x:c r="A217" s="46" t="str">
        <x:v>9</x:v>
      </x:c>
      <x:c r="B217" s="46" t="str">
        <x:v>5030</x:v>
      </x:c>
      <x:c r="C217" s="46" t="str">
        <x:v>Περιοδοντολογία</x:v>
      </x:c>
      <x:c r="D217" s="47" t="str">
        <x:v>ΠΕΡΙΟΔΟΝΤΙΤΙΔΑ ΠΡΟΧΩΡΗΜΕΝΗ</x:v>
      </x:c>
      <x:c r="E217" s="47" t="str">
        <x:v>Advanced periodontitis</x:v>
      </x:c>
      <x:c r="F217" s="47" t="str">
        <x:v>Fortgeschrittene Parodontitis</x:v>
      </x:c>
      <x:c r="G217" s="48" t="n">
        <x:v>600</x:v>
      </x:c>
      <x:c r="H217" s="46" t="str">
        <x:v>Unknown</x:v>
      </x:c>
      <x:c r="I217" s="47" t="str">
        <x:v>Patient-level / history only</x:v>
      </x:c>
      <x:c r="J217" s="47" t="str">
        <x:v>Patient / quadrant / periodontal chart</x:v>
      </x:c>
      <x:c r="K217" s="47" t="str">
        <x:v>none</x:v>
      </x:c>
      <x:c r="L217" s="47" t="str">
        <x:v>periodontal</x:v>
      </x:c>
      <x:c r="M217" s="47" t="str">
        <x:v>Not specified</x:v>
      </x:c>
      <x:c r="N217" s="70" t="str">
        <x:v>#B34FA2</x:v>
      </x:c>
      <x:c r="O217" s="50" t="str">
        <x:v>High</x:v>
      </x:c>
      <x:c r="P217" s="55" t="str">
        <x:v>Medium</x:v>
      </x:c>
      <x:c r="Q217" s="47" t="str">
        <x:v>Periodontology group; exact target varies</x:v>
      </x:c>
      <x:c r="R217" s="47" t="str">
        <x:v>Exact catalogue translation</x:v>
      </x:c>
      <x:c r="S217" s="52" t="str">
        <x:v>Yes</x:v>
      </x:c>
      <x:c r="T217" s="46" t="str"/>
      <x:c r="U217" s="47" t="str"/>
      <x:c r="V217" s="46" t="str">
        <x:v>dfc59909eded03f</x:v>
      </x:c>
    </x:row>
    <x:row r="218">
      <x:c r="A218" s="46" t="str">
        <x:v>9</x:v>
      </x:c>
      <x:c r="B218" s="46" t="str">
        <x:v>86100</x:v>
      </x:c>
      <x:c r="C218" s="46" t="str">
        <x:v>Περιοδοντολογία</x:v>
      </x:c>
      <x:c r="D218" s="47" t="str">
        <x:v>Συντ. θεραπεία περιοδοντίτιδας ανά ημιμόριο 1-4</x:v>
      </x:c>
      <x:c r="E218" s="47" t="str">
        <x:v>Conservative periodontitis treatment per half-arch 1–4</x:v>
      </x:c>
      <x:c r="F218" s="47" t="str">
        <x:v>Konservative Parodontitisbehandlung pro Kieferhälfte 1–4</x:v>
      </x:c>
      <x:c r="G218" s="48" t="n">
        <x:v>150</x:v>
      </x:c>
      <x:c r="H218" s="46" t="str">
        <x:v>No</x:v>
      </x:c>
      <x:c r="I218" s="47" t="str">
        <x:v>Patient-level / history only</x:v>
      </x:c>
      <x:c r="J218" s="47" t="str">
        <x:v>Patient / quadrant / periodontal chart</x:v>
      </x:c>
      <x:c r="K218" s="47" t="str">
        <x:v>none</x:v>
      </x:c>
      <x:c r="L218" s="47" t="str">
        <x:v>periodontal</x:v>
      </x:c>
      <x:c r="M218" s="47" t="str">
        <x:v>Not specified</x:v>
      </x:c>
      <x:c r="N218" s="70" t="str">
        <x:v>#B34FA2</x:v>
      </x:c>
      <x:c r="O218" s="50" t="str">
        <x:v>High</x:v>
      </x:c>
      <x:c r="P218" s="55" t="str">
        <x:v>Medium</x:v>
      </x:c>
      <x:c r="Q218" s="47" t="str">
        <x:v>Periodontology group; exact target varies</x:v>
      </x:c>
      <x:c r="R218" s="47" t="str">
        <x:v>Exact catalogue translation</x:v>
      </x:c>
      <x:c r="S218" s="52" t="str">
        <x:v>Yes</x:v>
      </x:c>
      <x:c r="T218" s="46" t="str"/>
      <x:c r="U218" s="47" t="str"/>
      <x:c r="V218" s="46" t="str">
        <x:v>df657a45d15b335</x:v>
      </x:c>
    </x:row>
    <x:row r="219">
      <x:c r="A219" s="46" t="str">
        <x:v>9</x:v>
      </x:c>
      <x:c r="B219" s="46" t="str">
        <x:v>86104</x:v>
      </x:c>
      <x:c r="C219" s="46" t="str">
        <x:v>Περιοδοντολογία</x:v>
      </x:c>
      <x:c r="D219" s="47" t="str">
        <x:v>Συντ. θεραπεία περιοδοντίτιδας ανά ημιμόριο 2-3</x:v>
      </x:c>
      <x:c r="E219" s="47" t="str">
        <x:v>Conservative periodontitis treatment per half-arch 2–3</x:v>
      </x:c>
      <x:c r="F219" s="47" t="str">
        <x:v>Konservative Parodontitisbehandlung pro Kieferhälfte 2–3</x:v>
      </x:c>
      <x:c r="G219" s="48" t="n">
        <x:v>150</x:v>
      </x:c>
      <x:c r="H219" s="46" t="str">
        <x:v>No</x:v>
      </x:c>
      <x:c r="I219" s="47" t="str">
        <x:v>Patient-level / history only</x:v>
      </x:c>
      <x:c r="J219" s="47" t="str">
        <x:v>Patient / quadrant / periodontal chart</x:v>
      </x:c>
      <x:c r="K219" s="47" t="str">
        <x:v>none</x:v>
      </x:c>
      <x:c r="L219" s="47" t="str">
        <x:v>periodontal</x:v>
      </x:c>
      <x:c r="M219" s="47" t="str">
        <x:v>Not specified</x:v>
      </x:c>
      <x:c r="N219" s="70" t="str">
        <x:v>#B34FA2</x:v>
      </x:c>
      <x:c r="O219" s="50" t="str">
        <x:v>High</x:v>
      </x:c>
      <x:c r="P219" s="55" t="str">
        <x:v>Medium</x:v>
      </x:c>
      <x:c r="Q219" s="47" t="str">
        <x:v>Periodontology group; exact target varies</x:v>
      </x:c>
      <x:c r="R219" s="47" t="str">
        <x:v>Exact catalogue translation</x:v>
      </x:c>
      <x:c r="S219" s="52" t="str">
        <x:v>Yes</x:v>
      </x:c>
      <x:c r="T219" s="46" t="str"/>
      <x:c r="U219" s="47" t="str"/>
      <x:c r="V219" s="46" t="str">
        <x:v>d50667a4cecffe6</x:v>
      </x:c>
    </x:row>
    <x:row r="220">
      <x:c r="A220" s="46" t="str">
        <x:v>9</x:v>
      </x:c>
      <x:c r="B220" s="46" t="str">
        <x:v>86099</x:v>
      </x:c>
      <x:c r="C220" s="46" t="str">
        <x:v>Περιοδοντολογία</x:v>
      </x:c>
      <x:c r="D220" s="47" t="str">
        <x:v>Συντ. θεραπεία περιοδοντίτιδας ανά τεταρτημόριο 1</x:v>
      </x:c>
      <x:c r="E220" s="47" t="str">
        <x:v>Conservative periodontitis treatment per quadrant 1</x:v>
      </x:c>
      <x:c r="F220" s="47" t="str">
        <x:v>Konservative Parodontitisbehandlung pro Quadrant 1</x:v>
      </x:c>
      <x:c r="G220" s="48" t="n">
        <x:v>75</x:v>
      </x:c>
      <x:c r="H220" s="46" t="str">
        <x:v>No</x:v>
      </x:c>
      <x:c r="I220" s="47" t="str">
        <x:v>Patient-level / history only</x:v>
      </x:c>
      <x:c r="J220" s="47" t="str">
        <x:v>Patient / quadrant / periodontal chart</x:v>
      </x:c>
      <x:c r="K220" s="47" t="str">
        <x:v>none</x:v>
      </x:c>
      <x:c r="L220" s="47" t="str">
        <x:v>periodontal</x:v>
      </x:c>
      <x:c r="M220" s="47" t="str">
        <x:v>Not specified</x:v>
      </x:c>
      <x:c r="N220" s="70" t="str">
        <x:v>#B34FA2</x:v>
      </x:c>
      <x:c r="O220" s="50" t="str">
        <x:v>High</x:v>
      </x:c>
      <x:c r="P220" s="55" t="str">
        <x:v>Medium</x:v>
      </x:c>
      <x:c r="Q220" s="47" t="str">
        <x:v>Periodontology group; exact target varies</x:v>
      </x:c>
      <x:c r="R220" s="47" t="str">
        <x:v>Exact catalogue translation</x:v>
      </x:c>
      <x:c r="S220" s="52" t="str">
        <x:v>Yes</x:v>
      </x:c>
      <x:c r="T220" s="46" t="str"/>
      <x:c r="U220" s="47" t="str"/>
      <x:c r="V220" s="46" t="str">
        <x:v>d95c8875d9909e7</x:v>
      </x:c>
    </x:row>
    <x:row r="221">
      <x:c r="A221" s="46" t="str">
        <x:v>9</x:v>
      </x:c>
      <x:c r="B221" s="46" t="str">
        <x:v>86101</x:v>
      </x:c>
      <x:c r="C221" s="46" t="str">
        <x:v>Περιοδοντολογία</x:v>
      </x:c>
      <x:c r="D221" s="47" t="str">
        <x:v>Συντ. θεραπεία περιοδοντίτιδας ανά τεταρτημόριο 2</x:v>
      </x:c>
      <x:c r="E221" s="47" t="str">
        <x:v>Conservative periodontitis treatment per quadrant 2</x:v>
      </x:c>
      <x:c r="F221" s="47" t="str">
        <x:v>Konservative Parodontitisbehandlung pro Quadrant 2</x:v>
      </x:c>
      <x:c r="G221" s="48" t="n">
        <x:v>75</x:v>
      </x:c>
      <x:c r="H221" s="46" t="str">
        <x:v>No</x:v>
      </x:c>
      <x:c r="I221" s="47" t="str">
        <x:v>Patient-level / history only</x:v>
      </x:c>
      <x:c r="J221" s="47" t="str">
        <x:v>Patient / quadrant / periodontal chart</x:v>
      </x:c>
      <x:c r="K221" s="47" t="str">
        <x:v>none</x:v>
      </x:c>
      <x:c r="L221" s="47" t="str">
        <x:v>periodontal</x:v>
      </x:c>
      <x:c r="M221" s="47" t="str">
        <x:v>Not specified</x:v>
      </x:c>
      <x:c r="N221" s="70" t="str">
        <x:v>#B34FA2</x:v>
      </x:c>
      <x:c r="O221" s="50" t="str">
        <x:v>High</x:v>
      </x:c>
      <x:c r="P221" s="55" t="str">
        <x:v>Medium</x:v>
      </x:c>
      <x:c r="Q221" s="47" t="str">
        <x:v>Periodontology group; exact target varies</x:v>
      </x:c>
      <x:c r="R221" s="47" t="str">
        <x:v>Exact catalogue translation</x:v>
      </x:c>
      <x:c r="S221" s="52" t="str">
        <x:v>Yes</x:v>
      </x:c>
      <x:c r="T221" s="46" t="str"/>
      <x:c r="U221" s="47" t="str"/>
      <x:c r="V221" s="46" t="str">
        <x:v>d21b17206ef2947</x:v>
      </x:c>
    </x:row>
    <x:row r="222">
      <x:c r="A222" s="46" t="str">
        <x:v>9</x:v>
      </x:c>
      <x:c r="B222" s="46" t="str">
        <x:v>86102</x:v>
      </x:c>
      <x:c r="C222" s="46" t="str">
        <x:v>Περιοδοντολογία</x:v>
      </x:c>
      <x:c r="D222" s="47" t="str">
        <x:v>Συντ. θεραπεία περιοδοντίτιδας ανά τεταρτημόριο 3</x:v>
      </x:c>
      <x:c r="E222" s="47" t="str">
        <x:v>Conservative periodontitis treatment per quadrant 3</x:v>
      </x:c>
      <x:c r="F222" s="47" t="str">
        <x:v>Konservative Parodontitisbehandlung pro Quadrant 3</x:v>
      </x:c>
      <x:c r="G222" s="48" t="n">
        <x:v>75</x:v>
      </x:c>
      <x:c r="H222" s="46" t="str">
        <x:v>No</x:v>
      </x:c>
      <x:c r="I222" s="47" t="str">
        <x:v>Patient-level / history only</x:v>
      </x:c>
      <x:c r="J222" s="47" t="str">
        <x:v>Patient / quadrant / periodontal chart</x:v>
      </x:c>
      <x:c r="K222" s="47" t="str">
        <x:v>none</x:v>
      </x:c>
      <x:c r="L222" s="47" t="str">
        <x:v>periodontal</x:v>
      </x:c>
      <x:c r="M222" s="47" t="str">
        <x:v>Not specified</x:v>
      </x:c>
      <x:c r="N222" s="70" t="str">
        <x:v>#B34FA2</x:v>
      </x:c>
      <x:c r="O222" s="50" t="str">
        <x:v>High</x:v>
      </x:c>
      <x:c r="P222" s="55" t="str">
        <x:v>Medium</x:v>
      </x:c>
      <x:c r="Q222" s="47" t="str">
        <x:v>Periodontology group; exact target varies</x:v>
      </x:c>
      <x:c r="R222" s="47" t="str">
        <x:v>Exact catalogue translation</x:v>
      </x:c>
      <x:c r="S222" s="52" t="str">
        <x:v>Yes</x:v>
      </x:c>
      <x:c r="T222" s="46" t="str"/>
      <x:c r="U222" s="47" t="str"/>
      <x:c r="V222" s="46" t="str">
        <x:v>d16b35897a502df</x:v>
      </x:c>
    </x:row>
    <x:row r="223">
      <x:c r="A223" s="46" t="str">
        <x:v>9</x:v>
      </x:c>
      <x:c r="B223" s="46" t="str">
        <x:v>86103</x:v>
      </x:c>
      <x:c r="C223" s="46" t="str">
        <x:v>Περιοδοντολογία</x:v>
      </x:c>
      <x:c r="D223" s="47" t="str">
        <x:v>Συντ. θεραπεία περιοδοντίτιδας ανά τεταρτημόριο 4</x:v>
      </x:c>
      <x:c r="E223" s="47" t="str">
        <x:v>Conservative periodontitis treatment per quadrant 4</x:v>
      </x:c>
      <x:c r="F223" s="47" t="str">
        <x:v>Konservative Parodontitisbehandlung pro Quadrant 4</x:v>
      </x:c>
      <x:c r="G223" s="48" t="n">
        <x:v>75</x:v>
      </x:c>
      <x:c r="H223" s="46" t="str">
        <x:v>No</x:v>
      </x:c>
      <x:c r="I223" s="47" t="str">
        <x:v>Patient-level / history only</x:v>
      </x:c>
      <x:c r="J223" s="47" t="str">
        <x:v>Patient / quadrant / periodontal chart</x:v>
      </x:c>
      <x:c r="K223" s="47" t="str">
        <x:v>none</x:v>
      </x:c>
      <x:c r="L223" s="47" t="str">
        <x:v>periodontal</x:v>
      </x:c>
      <x:c r="M223" s="47" t="str">
        <x:v>Not specified</x:v>
      </x:c>
      <x:c r="N223" s="70" t="str">
        <x:v>#B34FA2</x:v>
      </x:c>
      <x:c r="O223" s="50" t="str">
        <x:v>High</x:v>
      </x:c>
      <x:c r="P223" s="55" t="str">
        <x:v>Medium</x:v>
      </x:c>
      <x:c r="Q223" s="47" t="str">
        <x:v>Periodontology group; exact target varies</x:v>
      </x:c>
      <x:c r="R223" s="47" t="str">
        <x:v>Exact catalogue translation</x:v>
      </x:c>
      <x:c r="S223" s="52" t="str">
        <x:v>Yes</x:v>
      </x:c>
      <x:c r="T223" s="46" t="str"/>
      <x:c r="U223" s="47" t="str"/>
      <x:c r="V223" s="46" t="str">
        <x:v>decfe20dd8e7d48</x:v>
      </x:c>
    </x:row>
    <x:row r="224">
      <x:c r="A224" s="46" t="str">
        <x:v>9</x:v>
      </x:c>
      <x:c r="B224" s="46" t="str">
        <x:v>86115</x:v>
      </x:c>
      <x:c r="C224" s="46" t="str">
        <x:v>Περιοδοντολογία</x:v>
      </x:c>
      <x:c r="D224" s="47" t="str">
        <x:v>Τοποθέτηση CHX</x:v>
      </x:c>
      <x:c r="E224" s="47" t="str">
        <x:v>Placement of CHX</x:v>
      </x:c>
      <x:c r="F224" s="47" t="str">
        <x:v>Einbringen von CHX</x:v>
      </x:c>
      <x:c r="G224" s="48" t="n">
        <x:v>0</x:v>
      </x:c>
      <x:c r="H224" s="46" t="str">
        <x:v>Unknown</x:v>
      </x:c>
      <x:c r="I224" s="47" t="str">
        <x:v>Patient-level / history only</x:v>
      </x:c>
      <x:c r="J224" s="47" t="str">
        <x:v>Patient / quadrant / periodontal chart</x:v>
      </x:c>
      <x:c r="K224" s="47" t="str">
        <x:v>none</x:v>
      </x:c>
      <x:c r="L224" s="47" t="str">
        <x:v>periodontal</x:v>
      </x:c>
      <x:c r="M224" s="47" t="str">
        <x:v>Not specified</x:v>
      </x:c>
      <x:c r="N224" s="70" t="str">
        <x:v>#B34FA2</x:v>
      </x:c>
      <x:c r="O224" s="55" t="str">
        <x:v>Medium</x:v>
      </x:c>
      <x:c r="P224" s="55" t="str">
        <x:v>Medium</x:v>
      </x:c>
      <x:c r="Q224" s="47" t="str">
        <x:v>Periodontology group; exact target varies</x:v>
      </x:c>
      <x:c r="R224" s="47" t="str">
        <x:v>Phrase-based clinical draft; language review recommended</x:v>
      </x:c>
      <x:c r="S224" s="52" t="str">
        <x:v>Yes</x:v>
      </x:c>
      <x:c r="T224" s="46" t="str"/>
      <x:c r="U224" s="47" t="str"/>
      <x:c r="V224" s="46" t="str">
        <x:v>d1f67b40f60481a</x:v>
      </x:c>
    </x:row>
    <x:row r="225">
      <x:c r="A225" s="46" t="str">
        <x:v>9</x:v>
      </x:c>
      <x:c r="B225" s="46" t="str">
        <x:v>86189</x:v>
      </x:c>
      <x:c r="C225" s="46" t="str">
        <x:v>Περιοδοντολογία</x:v>
      </x:c>
      <x:c r="D225" s="47" t="str">
        <x:v>Τοποθέτηση Periocline</x:v>
      </x:c>
      <x:c r="E225" s="47" t="str">
        <x:v>Placement of Periocline</x:v>
      </x:c>
      <x:c r="F225" s="47" t="str">
        <x:v>Einbringen von Periocline</x:v>
      </x:c>
      <x:c r="G225" s="48" t="n">
        <x:v>0</x:v>
      </x:c>
      <x:c r="H225" s="46" t="str">
        <x:v>No</x:v>
      </x:c>
      <x:c r="I225" s="47" t="str">
        <x:v>Patient-level / history only</x:v>
      </x:c>
      <x:c r="J225" s="47" t="str">
        <x:v>Patient / quadrant / periodontal chart</x:v>
      </x:c>
      <x:c r="K225" s="47" t="str">
        <x:v>none</x:v>
      </x:c>
      <x:c r="L225" s="47" t="str">
        <x:v>periodontal</x:v>
      </x:c>
      <x:c r="M225" s="47" t="str">
        <x:v>Not specified</x:v>
      </x:c>
      <x:c r="N225" s="70" t="str">
        <x:v>#B34FA2</x:v>
      </x:c>
      <x:c r="O225" s="55" t="str">
        <x:v>Medium</x:v>
      </x:c>
      <x:c r="P225" s="55" t="str">
        <x:v>Medium</x:v>
      </x:c>
      <x:c r="Q225" s="47" t="str">
        <x:v>Periodontology group; exact target varies</x:v>
      </x:c>
      <x:c r="R225" s="47" t="str">
        <x:v>Phrase-based clinical draft; language review recommended</x:v>
      </x:c>
      <x:c r="S225" s="52" t="str">
        <x:v>Yes</x:v>
      </x:c>
      <x:c r="T225" s="46" t="str"/>
      <x:c r="U225" s="47" t="str"/>
      <x:c r="V225" s="46" t="str">
        <x:v>d15fa574e858077</x:v>
      </x:c>
    </x:row>
    <x:row r="226">
      <x:c r="A226" s="46" t="str">
        <x:v>9</x:v>
      </x:c>
      <x:c r="B226" s="46" t="str">
        <x:v>5065</x:v>
      </x:c>
      <x:c r="C226" s="46" t="str">
        <x:v>Περιοδοντολογία</x:v>
      </x:c>
      <x:c r="D226" s="47" t="str">
        <x:v>Recall</x:v>
      </x:c>
      <x:c r="E226" s="47" t="str">
        <x:v>Recall</x:v>
      </x:c>
      <x:c r="F226" s="47" t="str">
        <x:v>Recall</x:v>
      </x:c>
      <x:c r="G226" s="48" t="n">
        <x:v>60</x:v>
      </x:c>
      <x:c r="H226" s="46" t="str">
        <x:v>No</x:v>
      </x:c>
      <x:c r="I226" s="47" t="str">
        <x:v>Patient-level / history only</x:v>
      </x:c>
      <x:c r="J226" s="47" t="str">
        <x:v>Patient / quadrant / periodontal chart</x:v>
      </x:c>
      <x:c r="K226" s="47" t="str">
        <x:v>none</x:v>
      </x:c>
      <x:c r="L226" s="47" t="str">
        <x:v>periodontal</x:v>
      </x:c>
      <x:c r="M226" s="47" t="str">
        <x:v>Not specified</x:v>
      </x:c>
      <x:c r="N226" s="70" t="str">
        <x:v>#B34FA2</x:v>
      </x:c>
      <x:c r="O226" s="50" t="str">
        <x:v>High</x:v>
      </x:c>
      <x:c r="P226" s="55" t="str">
        <x:v>Medium</x:v>
      </x:c>
      <x:c r="Q226" s="47" t="str">
        <x:v>Periodontology group; exact target varies</x:v>
      </x:c>
      <x:c r="R226" s="47" t="str">
        <x:v>Exact catalogue translation</x:v>
      </x:c>
      <x:c r="S226" s="52" t="str">
        <x:v>Yes</x:v>
      </x:c>
      <x:c r="T226" s="46" t="str"/>
      <x:c r="U226" s="47" t="str"/>
      <x:c r="V226" s="46" t="str">
        <x:v>d198a60b13e06b4</x:v>
      </x:c>
    </x:row>
    <x:row r="227">
      <x:c r="A227" s="46" t="str">
        <x:v>9</x:v>
      </x:c>
      <x:c r="B227" s="46" t="str">
        <x:v>86134</x:v>
      </x:c>
      <x:c r="C227" s="46" t="str">
        <x:v>Περιοδοντολογία</x:v>
      </x:c>
      <x:c r="D227" s="47" t="str">
        <x:v>Reevaluation</x:v>
      </x:c>
      <x:c r="E227" s="47" t="str">
        <x:v>Re-evaluation</x:v>
      </x:c>
      <x:c r="F227" s="47" t="str">
        <x:v>Reevaluation</x:v>
      </x:c>
      <x:c r="G227" s="48" t="n">
        <x:v>0</x:v>
      </x:c>
      <x:c r="H227" s="46" t="str">
        <x:v>Unknown</x:v>
      </x:c>
      <x:c r="I227" s="47" t="str">
        <x:v>Patient-level / history only</x:v>
      </x:c>
      <x:c r="J227" s="47" t="str">
        <x:v>Patient / quadrant / periodontal chart</x:v>
      </x:c>
      <x:c r="K227" s="47" t="str">
        <x:v>none</x:v>
      </x:c>
      <x:c r="L227" s="47" t="str">
        <x:v>periodontal</x:v>
      </x:c>
      <x:c r="M227" s="47" t="str">
        <x:v>Not specified</x:v>
      </x:c>
      <x:c r="N227" s="70" t="str">
        <x:v>#B34FA2</x:v>
      </x:c>
      <x:c r="O227" s="50" t="str">
        <x:v>High</x:v>
      </x:c>
      <x:c r="P227" s="55" t="str">
        <x:v>Medium</x:v>
      </x:c>
      <x:c r="Q227" s="47" t="str">
        <x:v>Periodontology group; exact target varies</x:v>
      </x:c>
      <x:c r="R227" s="47" t="str">
        <x:v>Exact catalogue translation</x:v>
      </x:c>
      <x:c r="S227" s="52" t="str">
        <x:v>Yes</x:v>
      </x:c>
      <x:c r="T227" s="46" t="str"/>
      <x:c r="U227" s="47" t="str"/>
      <x:c r="V227" s="46" t="str">
        <x:v>d9c1727b6cb0dd4</x:v>
      </x:c>
    </x:row>
    <x:row r="228">
      <x:c r="A228" s="46" t="str">
        <x:v>10</x:v>
      </x:c>
      <x:c r="B228" s="46" t="str">
        <x:v>4986</x:v>
      </x:c>
      <x:c r="C228" s="46" t="str">
        <x:v>Ορθοδοντική</x:v>
      </x:c>
      <x:c r="D228" s="47" t="str">
        <x:v>Διατηρητής χώρου</x:v>
      </x:c>
      <x:c r="E228" s="47" t="str">
        <x:v>Space maintainer</x:v>
      </x:c>
      <x:c r="F228" s="47" t="str">
        <x:v>Platzhalter</x:v>
      </x:c>
      <x:c r="G228" s="48" t="n">
        <x:v>0</x:v>
      </x:c>
      <x:c r="H228" s="46" t="str">
        <x:v>Unknown</x:v>
      </x:c>
      <x:c r="I228" s="47" t="str">
        <x:v>Patient-level / history only</x:v>
      </x:c>
      <x:c r="J228" s="47" t="str">
        <x:v>Patient / arch</x:v>
      </x:c>
      <x:c r="K228" s="47" t="str">
        <x:v>none</x:v>
      </x:c>
      <x:c r="L228" s="47" t="str">
        <x:v>orthodontic</x:v>
      </x:c>
      <x:c r="M228" s="47" t="str">
        <x:v>Not specified</x:v>
      </x:c>
      <x:c r="N228" s="72" t="str">
        <x:v>#477A8B</x:v>
      </x:c>
      <x:c r="O228" s="55" t="str">
        <x:v>Medium</x:v>
      </x:c>
      <x:c r="P228" s="50" t="str">
        <x:v>High</x:v>
      </x:c>
      <x:c r="Q228" s="47" t="str">
        <x:v>Orthodontic group</x:v>
      </x:c>
      <x:c r="R228" s="47" t="str">
        <x:v>Phrase-based clinical draft; language review recommended</x:v>
      </x:c>
      <x:c r="S228" s="56" t="str">
        <x:v>No</x:v>
      </x:c>
      <x:c r="T228" s="46" t="str"/>
      <x:c r="U228" s="47" t="str"/>
      <x:c r="V228" s="46" t="str">
        <x:v>d6f96a3401a0ac9</x:v>
      </x:c>
    </x:row>
    <x:row r="229">
      <x:c r="A229" s="46" t="str">
        <x:v>10</x:v>
      </x:c>
      <x:c r="B229" s="46" t="str">
        <x:v>86215</x:v>
      </x:c>
      <x:c r="C229" s="46" t="str">
        <x:v>Ορθοδοντική</x:v>
      </x:c>
      <x:c r="D229" s="47" t="str">
        <x:v>Ορθοδοντικό μηχάνημα</x:v>
      </x:c>
      <x:c r="E229" s="47" t="str">
        <x:v>Orthodontic appliance</x:v>
      </x:c>
      <x:c r="F229" s="47" t="str">
        <x:v>Kieferorthopädisches Gerät</x:v>
      </x:c>
      <x:c r="G229" s="48" t="n">
        <x:v>0</x:v>
      </x:c>
      <x:c r="H229" s="46" t="str">
        <x:v>Unknown</x:v>
      </x:c>
      <x:c r="I229" s="47" t="str">
        <x:v>Patient-level / history only</x:v>
      </x:c>
      <x:c r="J229" s="47" t="str">
        <x:v>Patient / arch</x:v>
      </x:c>
      <x:c r="K229" s="47" t="str">
        <x:v>none</x:v>
      </x:c>
      <x:c r="L229" s="47" t="str">
        <x:v>orthodontic</x:v>
      </x:c>
      <x:c r="M229" s="47" t="str">
        <x:v>Not specified</x:v>
      </x:c>
      <x:c r="N229" s="72" t="str">
        <x:v>#477A8B</x:v>
      </x:c>
      <x:c r="O229" s="55" t="str">
        <x:v>Medium</x:v>
      </x:c>
      <x:c r="P229" s="50" t="str">
        <x:v>High</x:v>
      </x:c>
      <x:c r="Q229" s="47" t="str">
        <x:v>Orthodontic group</x:v>
      </x:c>
      <x:c r="R229" s="47" t="str">
        <x:v>Phrase-based clinical draft; language review recommended</x:v>
      </x:c>
      <x:c r="S229" s="56" t="str">
        <x:v>No</x:v>
      </x:c>
      <x:c r="T229" s="46" t="str"/>
      <x:c r="U229" s="47" t="str"/>
      <x:c r="V229" s="46" t="str">
        <x:v>d02e42f792881a9</x:v>
      </x:c>
    </x:row>
    <x:row r="230">
      <x:c r="A230" s="46" t="str">
        <x:v>10</x:v>
      </x:c>
      <x:c r="B230" s="46" t="str">
        <x:v>86113</x:v>
      </x:c>
      <x:c r="C230" s="46" t="str">
        <x:v>Ορθοδοντική</x:v>
      </x:c>
      <x:c r="D230" s="47" t="str">
        <x:v>Retainer</x:v>
      </x:c>
      <x:c r="E230" s="47" t="str">
        <x:v>Retainer</x:v>
      </x:c>
      <x:c r="F230" s="47" t="str">
        <x:v>Retainer</x:v>
      </x:c>
      <x:c r="G230" s="48" t="n">
        <x:v>0</x:v>
      </x:c>
      <x:c r="H230" s="46" t="str">
        <x:v>No</x:v>
      </x:c>
      <x:c r="I230" s="47" t="str">
        <x:v>Patient-level / history only</x:v>
      </x:c>
      <x:c r="J230" s="47" t="str">
        <x:v>Patient / arch</x:v>
      </x:c>
      <x:c r="K230" s="47" t="str">
        <x:v>none</x:v>
      </x:c>
      <x:c r="L230" s="47" t="str">
        <x:v>orthodontic</x:v>
      </x:c>
      <x:c r="M230" s="47" t="str">
        <x:v>Not specified</x:v>
      </x:c>
      <x:c r="N230" s="72" t="str">
        <x:v>#477A8B</x:v>
      </x:c>
      <x:c r="O230" s="50" t="str">
        <x:v>High</x:v>
      </x:c>
      <x:c r="P230" s="50" t="str">
        <x:v>High</x:v>
      </x:c>
      <x:c r="Q230" s="47" t="str">
        <x:v>Orthodontic group</x:v>
      </x:c>
      <x:c r="R230" s="47" t="str">
        <x:v>Exact catalogue translation</x:v>
      </x:c>
      <x:c r="S230" s="56" t="str">
        <x:v>No</x:v>
      </x:c>
      <x:c r="T230" s="46" t="str"/>
      <x:c r="U230" s="47" t="str"/>
      <x:c r="V230" s="46" t="str">
        <x:v>de2eda767212552</x:v>
      </x:c>
    </x:row>
    <x:row r="231">
      <x:c r="A231" s="46" t="str">
        <x:v>11</x:v>
      </x:c>
      <x:c r="B231" s="46" t="str">
        <x:v>4527</x:v>
      </x:c>
      <x:c r="C231" s="46" t="str">
        <x:v>Εμφυτεύματα</x:v>
      </x:c>
      <x:c r="D231" s="47" t="str">
        <x:v>ΑΞΟΝΑΣ</x:v>
      </x:c>
      <x:c r="E231" s="47" t="str">
        <x:v>Post</x:v>
      </x:c>
      <x:c r="F231" s="47" t="str">
        <x:v>Stiftaufbau</x:v>
      </x:c>
      <x:c r="G231" s="48" t="n">
        <x:v>0</x:v>
      </x:c>
      <x:c r="H231" s="46" t="str">
        <x:v>Unknown</x:v>
      </x:c>
      <x:c r="I231" s="47" t="str">
        <x:v>Whole tooth</x:v>
      </x:c>
      <x:c r="J231" s="47" t="str">
        <x:v>Single tooth / implant site</x:v>
      </x:c>
      <x:c r="K231" s="47" t="str">
        <x:v>implant</x:v>
      </x:c>
      <x:c r="L231" s="47" t="str">
        <x:v>implant-component</x:v>
      </x:c>
      <x:c r="M231" s="47" t="str">
        <x:v>Not specified</x:v>
      </x:c>
      <x:c r="N231" s="74" t="str">
        <x:v>#6D7F2B</x:v>
      </x:c>
      <x:c r="O231" s="50" t="str">
        <x:v>High</x:v>
      </x:c>
      <x:c r="P231" s="50" t="str">
        <x:v>High</x:v>
      </x:c>
      <x:c r="Q231" s="47" t="str">
        <x:v>Implantology group</x:v>
      </x:c>
      <x:c r="R231" s="47" t="str">
        <x:v>Exact catalogue translation</x:v>
      </x:c>
      <x:c r="S231" s="56" t="str">
        <x:v>No</x:v>
      </x:c>
      <x:c r="T231" s="46" t="str"/>
      <x:c r="U231" s="47" t="str"/>
      <x:c r="V231" s="46" t="str">
        <x:v>db58beab6ae497a</x:v>
      </x:c>
    </x:row>
    <x:row r="232">
      <x:c r="A232" s="46" t="str">
        <x:v>11</x:v>
      </x:c>
      <x:c r="B232" s="46" t="str">
        <x:v>86213</x:v>
      </x:c>
      <x:c r="C232" s="46" t="str">
        <x:v>Εμφυτεύματα</x:v>
      </x:c>
      <x:c r="D232" s="47" t="str">
        <x:v>Αποκάλυψη εμφυτεύματος</x:v>
      </x:c>
      <x:c r="E232" s="47" t="str">
        <x:v>Implant uncovering</x:v>
      </x:c>
      <x:c r="F232" s="47" t="str">
        <x:v>Implantatfreilegung</x:v>
      </x:c>
      <x:c r="G232" s="48" t="n">
        <x:v>0</x:v>
      </x:c>
      <x:c r="H232" s="46" t="str">
        <x:v>Unknown</x:v>
      </x:c>
      <x:c r="I232" s="47" t="str">
        <x:v>Whole tooth</x:v>
      </x:c>
      <x:c r="J232" s="47" t="str">
        <x:v>Single tooth / implant site</x:v>
      </x:c>
      <x:c r="K232" s="47" t="str">
        <x:v>implant</x:v>
      </x:c>
      <x:c r="L232" s="47" t="str">
        <x:v>implant</x:v>
      </x:c>
      <x:c r="M232" s="47" t="str">
        <x:v>Implant / titanium</x:v>
      </x:c>
      <x:c r="N232" s="74" t="str">
        <x:v>#6D7F2B</x:v>
      </x:c>
      <x:c r="O232" s="55" t="str">
        <x:v>Medium</x:v>
      </x:c>
      <x:c r="P232" s="50" t="str">
        <x:v>High</x:v>
      </x:c>
      <x:c r="Q232" s="47" t="str">
        <x:v>Implant keyword</x:v>
      </x:c>
      <x:c r="R232" s="47" t="str">
        <x:v>Phrase-based clinical draft; language review recommended</x:v>
      </x:c>
      <x:c r="S232" s="56" t="str">
        <x:v>No</x:v>
      </x:c>
      <x:c r="T232" s="46" t="str"/>
      <x:c r="U232" s="47" t="str"/>
      <x:c r="V232" s="46" t="str">
        <x:v>d997b128ba58ff2</x:v>
      </x:c>
    </x:row>
    <x:row r="233">
      <x:c r="A233" s="46" t="str">
        <x:v>11</x:v>
      </x:c>
      <x:c r="B233" s="46" t="str">
        <x:v>4990</x:v>
      </x:c>
      <x:c r="C233" s="46" t="str">
        <x:v>Εμφυτεύματα</x:v>
      </x:c>
      <x:c r="D233" s="47" t="str">
        <x:v>ΕΜΦΥΤΕΥΜΑ</x:v>
      </x:c>
      <x:c r="E233" s="47" t="str">
        <x:v>Implant</x:v>
      </x:c>
      <x:c r="F233" s="47" t="str">
        <x:v>Implantat</x:v>
      </x:c>
      <x:c r="G233" s="48" t="n">
        <x:v>0</x:v>
      </x:c>
      <x:c r="H233" s="46" t="str">
        <x:v>Unknown</x:v>
      </x:c>
      <x:c r="I233" s="47" t="str">
        <x:v>Whole tooth</x:v>
      </x:c>
      <x:c r="J233" s="47" t="str">
        <x:v>Single tooth / implant site</x:v>
      </x:c>
      <x:c r="K233" s="47" t="str">
        <x:v>implant</x:v>
      </x:c>
      <x:c r="L233" s="47" t="str">
        <x:v>implant</x:v>
      </x:c>
      <x:c r="M233" s="47" t="str">
        <x:v>Implant / titanium</x:v>
      </x:c>
      <x:c r="N233" s="74" t="str">
        <x:v>#6D7F2B</x:v>
      </x:c>
      <x:c r="O233" s="50" t="str">
        <x:v>High</x:v>
      </x:c>
      <x:c r="P233" s="50" t="str">
        <x:v>High</x:v>
      </x:c>
      <x:c r="Q233" s="47" t="str">
        <x:v>Implant keyword</x:v>
      </x:c>
      <x:c r="R233" s="47" t="str">
        <x:v>Exact catalogue translation</x:v>
      </x:c>
      <x:c r="S233" s="56" t="str">
        <x:v>No</x:v>
      </x:c>
      <x:c r="T233" s="46" t="str"/>
      <x:c r="U233" s="47" t="str"/>
      <x:c r="V233" s="46" t="str">
        <x:v>dcc8a5f62722d58</x:v>
      </x:c>
    </x:row>
    <x:row r="234">
      <x:c r="A234" s="46" t="str">
        <x:v>11</x:v>
      </x:c>
      <x:c r="B234" s="46" t="str">
        <x:v>4991</x:v>
      </x:c>
      <x:c r="C234" s="46" t="str">
        <x:v>Εμφυτεύματα</x:v>
      </x:c>
      <x:c r="D234" s="47" t="str">
        <x:v>ΕΜΦΥΤΕΥΜΑ BRANEMARK</x:v>
      </x:c>
      <x:c r="E234" s="47" t="str">
        <x:v>Brånemark implant</x:v>
      </x:c>
      <x:c r="F234" s="47" t="str">
        <x:v>Brånemark-Implantat</x:v>
      </x:c>
      <x:c r="G234" s="48" t="n">
        <x:v>650</x:v>
      </x:c>
      <x:c r="H234" s="46" t="str">
        <x:v>Unknown</x:v>
      </x:c>
      <x:c r="I234" s="47" t="str">
        <x:v>Whole tooth</x:v>
      </x:c>
      <x:c r="J234" s="47" t="str">
        <x:v>Single tooth / implant site</x:v>
      </x:c>
      <x:c r="K234" s="47" t="str">
        <x:v>implant</x:v>
      </x:c>
      <x:c r="L234" s="47" t="str">
        <x:v>implant</x:v>
      </x:c>
      <x:c r="M234" s="47" t="str">
        <x:v>Implant / titanium</x:v>
      </x:c>
      <x:c r="N234" s="74" t="str">
        <x:v>#6D7F2B</x:v>
      </x:c>
      <x:c r="O234" s="50" t="str">
        <x:v>High</x:v>
      </x:c>
      <x:c r="P234" s="50" t="str">
        <x:v>High</x:v>
      </x:c>
      <x:c r="Q234" s="47" t="str">
        <x:v>Implant keyword</x:v>
      </x:c>
      <x:c r="R234" s="47" t="str">
        <x:v>Exact catalogue translation</x:v>
      </x:c>
      <x:c r="S234" s="56" t="str">
        <x:v>No</x:v>
      </x:c>
      <x:c r="T234" s="46" t="str"/>
      <x:c r="U234" s="47" t="str"/>
      <x:c r="V234" s="46" t="str">
        <x:v>d13e542c6e6719c</x:v>
      </x:c>
    </x:row>
    <x:row r="235">
      <x:c r="A235" s="46" t="str">
        <x:v>11</x:v>
      </x:c>
      <x:c r="B235" s="46" t="str">
        <x:v>86219</x:v>
      </x:c>
      <x:c r="C235" s="46" t="str">
        <x:v>Εμφυτεύματα</x:v>
      </x:c>
      <x:c r="D235" s="47" t="str">
        <x:v>Εμφύτευμα Omnitaper / Dentsply</x:v>
      </x:c>
      <x:c r="E235" s="47" t="str">
        <x:v>Implant Omnitaper / Dentsply</x:v>
      </x:c>
      <x:c r="F235" s="47" t="str">
        <x:v>Implantat Omnitaper / Dentsply</x:v>
      </x:c>
      <x:c r="G235" s="48" t="n">
        <x:v>0</x:v>
      </x:c>
      <x:c r="H235" s="46" t="str">
        <x:v>Unknown</x:v>
      </x:c>
      <x:c r="I235" s="47" t="str">
        <x:v>Whole tooth</x:v>
      </x:c>
      <x:c r="J235" s="47" t="str">
        <x:v>Single tooth / implant site</x:v>
      </x:c>
      <x:c r="K235" s="47" t="str">
        <x:v>implant</x:v>
      </x:c>
      <x:c r="L235" s="47" t="str">
        <x:v>implant</x:v>
      </x:c>
      <x:c r="M235" s="47" t="str">
        <x:v>Implant / titanium</x:v>
      </x:c>
      <x:c r="N235" s="74" t="str">
        <x:v>#6D7F2B</x:v>
      </x:c>
      <x:c r="O235" s="55" t="str">
        <x:v>Medium</x:v>
      </x:c>
      <x:c r="P235" s="50" t="str">
        <x:v>High</x:v>
      </x:c>
      <x:c r="Q235" s="47" t="str">
        <x:v>Implant keyword</x:v>
      </x:c>
      <x:c r="R235" s="47" t="str">
        <x:v>Phrase-based clinical draft; language review recommended</x:v>
      </x:c>
      <x:c r="S235" s="56" t="str">
        <x:v>No</x:v>
      </x:c>
      <x:c r="T235" s="46" t="str"/>
      <x:c r="U235" s="47" t="str"/>
      <x:c r="V235" s="46" t="str">
        <x:v>d8560a7ab5b282c</x:v>
      </x:c>
    </x:row>
    <x:row r="236">
      <x:c r="A236" s="46" t="str">
        <x:v>11</x:v>
      </x:c>
      <x:c r="B236" s="46" t="str">
        <x:v>86212</x:v>
      </x:c>
      <x:c r="C236" s="46" t="str">
        <x:v>Εμφυτεύματα</x:v>
      </x:c>
      <x:c r="D236" s="47" t="str">
        <x:v>Εμφύτευμα Paltop</x:v>
      </x:c>
      <x:c r="E236" s="47" t="str">
        <x:v>Implant Paltop</x:v>
      </x:c>
      <x:c r="F236" s="47" t="str">
        <x:v>Implantat Paltop</x:v>
      </x:c>
      <x:c r="G236" s="48" t="n">
        <x:v>0</x:v>
      </x:c>
      <x:c r="H236" s="46" t="str">
        <x:v>Yes</x:v>
      </x:c>
      <x:c r="I236" s="47" t="str">
        <x:v>Whole tooth</x:v>
      </x:c>
      <x:c r="J236" s="47" t="str">
        <x:v>Single tooth / implant site</x:v>
      </x:c>
      <x:c r="K236" s="47" t="str">
        <x:v>implant</x:v>
      </x:c>
      <x:c r="L236" s="47" t="str">
        <x:v>implant</x:v>
      </x:c>
      <x:c r="M236" s="47" t="str">
        <x:v>Implant / titanium</x:v>
      </x:c>
      <x:c r="N236" s="74" t="str">
        <x:v>#6D7F2B</x:v>
      </x:c>
      <x:c r="O236" s="55" t="str">
        <x:v>Medium</x:v>
      </x:c>
      <x:c r="P236" s="50" t="str">
        <x:v>High</x:v>
      </x:c>
      <x:c r="Q236" s="47" t="str">
        <x:v>Implant keyword</x:v>
      </x:c>
      <x:c r="R236" s="47" t="str">
        <x:v>Phrase-based clinical draft; language review recommended</x:v>
      </x:c>
      <x:c r="S236" s="56" t="str">
        <x:v>No</x:v>
      </x:c>
      <x:c r="T236" s="46" t="str"/>
      <x:c r="U236" s="47" t="str"/>
      <x:c r="V236" s="46" t="str">
        <x:v>d8266b60009fd89</x:v>
      </x:c>
    </x:row>
    <x:row r="237">
      <x:c r="A237" s="46" t="str">
        <x:v>11</x:v>
      </x:c>
      <x:c r="B237" s="46" t="str">
        <x:v>4992</x:v>
      </x:c>
      <x:c r="C237" s="46" t="str">
        <x:v>Εμφυτεύματα</x:v>
      </x:c>
      <x:c r="D237" s="47" t="str">
        <x:v>ΕΜΦΥΤΕΥΜΑ SOUTHERN</x:v>
      </x:c>
      <x:c r="E237" s="47" t="str">
        <x:v>Southern implant</x:v>
      </x:c>
      <x:c r="F237" s="47" t="str">
        <x:v>Southern-Implantat</x:v>
      </x:c>
      <x:c r="G237" s="48" t="n">
        <x:v>650</x:v>
      </x:c>
      <x:c r="H237" s="46" t="str">
        <x:v>Unknown</x:v>
      </x:c>
      <x:c r="I237" s="47" t="str">
        <x:v>Whole tooth</x:v>
      </x:c>
      <x:c r="J237" s="47" t="str">
        <x:v>Single tooth / implant site</x:v>
      </x:c>
      <x:c r="K237" s="47" t="str">
        <x:v>implant</x:v>
      </x:c>
      <x:c r="L237" s="47" t="str">
        <x:v>implant</x:v>
      </x:c>
      <x:c r="M237" s="47" t="str">
        <x:v>Implant / titanium</x:v>
      </x:c>
      <x:c r="N237" s="74" t="str">
        <x:v>#6D7F2B</x:v>
      </x:c>
      <x:c r="O237" s="50" t="str">
        <x:v>High</x:v>
      </x:c>
      <x:c r="P237" s="50" t="str">
        <x:v>High</x:v>
      </x:c>
      <x:c r="Q237" s="47" t="str">
        <x:v>Implant keyword</x:v>
      </x:c>
      <x:c r="R237" s="47" t="str">
        <x:v>Exact catalogue translation</x:v>
      </x:c>
      <x:c r="S237" s="56" t="str">
        <x:v>No</x:v>
      </x:c>
      <x:c r="T237" s="46" t="str"/>
      <x:c r="U237" s="47" t="str"/>
      <x:c r="V237" s="46" t="str">
        <x:v>d9a37706fb8c5bf</x:v>
      </x:c>
    </x:row>
    <x:row r="238">
      <x:c r="A238" s="46" t="str">
        <x:v>11</x:v>
      </x:c>
      <x:c r="B238" s="46" t="str">
        <x:v>4993</x:v>
      </x:c>
      <x:c r="C238" s="46" t="str">
        <x:v>Εμφυτεύματα</x:v>
      </x:c>
      <x:c r="D238" s="47" t="str">
        <x:v>ΕΜΦΥΤΕΥΜΑ STRAUMMAN</x:v>
      </x:c>
      <x:c r="E238" s="47" t="str">
        <x:v>Straumann implant (source spelling: STRAUMMAN)</x:v>
      </x:c>
      <x:c r="F238" s="47" t="str">
        <x:v>Straumann-Implantat (Quellschreibweise: STRAUMMAN)</x:v>
      </x:c>
      <x:c r="G238" s="48" t="n">
        <x:v>650</x:v>
      </x:c>
      <x:c r="H238" s="46" t="str">
        <x:v>Unknown</x:v>
      </x:c>
      <x:c r="I238" s="47" t="str">
        <x:v>Whole tooth</x:v>
      </x:c>
      <x:c r="J238" s="47" t="str">
        <x:v>Single tooth / implant site</x:v>
      </x:c>
      <x:c r="K238" s="47" t="str">
        <x:v>implant</x:v>
      </x:c>
      <x:c r="L238" s="47" t="str">
        <x:v>implant</x:v>
      </x:c>
      <x:c r="M238" s="47" t="str">
        <x:v>Implant / titanium</x:v>
      </x:c>
      <x:c r="N238" s="74" t="str">
        <x:v>#6D7F2B</x:v>
      </x:c>
      <x:c r="O238" s="50" t="str">
        <x:v>High</x:v>
      </x:c>
      <x:c r="P238" s="50" t="str">
        <x:v>High</x:v>
      </x:c>
      <x:c r="Q238" s="47" t="str">
        <x:v>Implant keyword</x:v>
      </x:c>
      <x:c r="R238" s="47" t="str">
        <x:v>Exact catalogue translation</x:v>
      </x:c>
      <x:c r="S238" s="56" t="str">
        <x:v>No</x:v>
      </x:c>
      <x:c r="T238" s="46" t="str"/>
      <x:c r="U238" s="47" t="str"/>
      <x:c r="V238" s="46" t="str">
        <x:v>d3c6909afb9e2ae</x:v>
      </x:c>
    </x:row>
    <x:row r="239">
      <x:c r="A239" s="46" t="str">
        <x:v>11</x:v>
      </x:c>
      <x:c r="B239" s="46" t="str">
        <x:v>4951</x:v>
      </x:c>
      <x:c r="C239" s="46" t="str">
        <x:v>Εμφυτεύματα</x:v>
      </x:c>
      <x:c r="D239" s="47" t="str">
        <x:v>Εμφύτευμα Xive</x:v>
      </x:c>
      <x:c r="E239" s="47" t="str">
        <x:v>Implant Xive</x:v>
      </x:c>
      <x:c r="F239" s="47" t="str">
        <x:v>Implantat Xive</x:v>
      </x:c>
      <x:c r="G239" s="48" t="n">
        <x:v>0</x:v>
      </x:c>
      <x:c r="H239" s="46" t="str">
        <x:v>Yes</x:v>
      </x:c>
      <x:c r="I239" s="47" t="str">
        <x:v>Whole tooth</x:v>
      </x:c>
      <x:c r="J239" s="47" t="str">
        <x:v>Single tooth / implant site</x:v>
      </x:c>
      <x:c r="K239" s="47" t="str">
        <x:v>implant</x:v>
      </x:c>
      <x:c r="L239" s="47" t="str">
        <x:v>implant</x:v>
      </x:c>
      <x:c r="M239" s="47" t="str">
        <x:v>Implant / titanium</x:v>
      </x:c>
      <x:c r="N239" s="74" t="str">
        <x:v>#6D7F2B</x:v>
      </x:c>
      <x:c r="O239" s="55" t="str">
        <x:v>Medium</x:v>
      </x:c>
      <x:c r="P239" s="50" t="str">
        <x:v>High</x:v>
      </x:c>
      <x:c r="Q239" s="47" t="str">
        <x:v>Implant keyword</x:v>
      </x:c>
      <x:c r="R239" s="47" t="str">
        <x:v>Phrase-based clinical draft; language review recommended</x:v>
      </x:c>
      <x:c r="S239" s="56" t="str">
        <x:v>No</x:v>
      </x:c>
      <x:c r="T239" s="46" t="str"/>
      <x:c r="U239" s="47" t="str"/>
      <x:c r="V239" s="46" t="str">
        <x:v>d65ba38daefd443</x:v>
      </x:c>
    </x:row>
    <x:row r="240">
      <x:c r="A240" s="46" t="str">
        <x:v>11</x:v>
      </x:c>
      <x:c r="B240" s="46" t="str">
        <x:v>86208</x:v>
      </x:c>
      <x:c r="C240" s="46" t="str">
        <x:v>Εμφυτεύματα</x:v>
      </x:c>
      <x:c r="D240" s="47" t="str">
        <x:v>Κοχλίωση εμφυτευμάτων</x:v>
      </x:c>
      <x:c r="E240" s="47" t="str">
        <x:v>Screw retention of implant restorations</x:v>
      </x:c>
      <x:c r="F240" s="47" t="str">
        <x:v>Verschraubung von Implantatversorgungen</x:v>
      </x:c>
      <x:c r="G240" s="48" t="n">
        <x:v>0</x:v>
      </x:c>
      <x:c r="H240" s="46" t="str">
        <x:v>Unknown</x:v>
      </x:c>
      <x:c r="I240" s="47" t="str">
        <x:v>Whole tooth</x:v>
      </x:c>
      <x:c r="J240" s="47" t="str">
        <x:v>Single tooth / implant site</x:v>
      </x:c>
      <x:c r="K240" s="47" t="str">
        <x:v>implant</x:v>
      </x:c>
      <x:c r="L240" s="47" t="str">
        <x:v>implant</x:v>
      </x:c>
      <x:c r="M240" s="47" t="str">
        <x:v>Implant / titanium</x:v>
      </x:c>
      <x:c r="N240" s="74" t="str">
        <x:v>#6D7F2B</x:v>
      </x:c>
      <x:c r="O240" s="50" t="str">
        <x:v>High</x:v>
      </x:c>
      <x:c r="P240" s="50" t="str">
        <x:v>High</x:v>
      </x:c>
      <x:c r="Q240" s="47" t="str">
        <x:v>Implant keyword</x:v>
      </x:c>
      <x:c r="R240" s="47" t="str">
        <x:v>Exact catalogue translation</x:v>
      </x:c>
      <x:c r="S240" s="56" t="str">
        <x:v>No</x:v>
      </x:c>
      <x:c r="T240" s="46" t="str"/>
      <x:c r="U240" s="47" t="str"/>
      <x:c r="V240" s="46" t="str">
        <x:v>ddd72e3f8507de6</x:v>
      </x:c>
    </x:row>
    <x:row r="241">
      <x:c r="A241" s="46" t="str">
        <x:v>11</x:v>
      </x:c>
      <x:c r="B241" s="46" t="str">
        <x:v>86209</x:v>
      </x:c>
      <x:c r="C241" s="46" t="str">
        <x:v>Εμφυτεύματα</x:v>
      </x:c>
      <x:c r="D241" s="47" t="str">
        <x:v>Συγκόλληση με Implant Temp</x:v>
      </x:c>
      <x:c r="E241" s="47" t="str">
        <x:v>Cementation with Implant Temp</x:v>
      </x:c>
      <x:c r="F241" s="47" t="str">
        <x:v>Zementierung mit Implant Temp</x:v>
      </x:c>
      <x:c r="G241" s="48" t="n">
        <x:v>0</x:v>
      </x:c>
      <x:c r="H241" s="46" t="str">
        <x:v>Unknown</x:v>
      </x:c>
      <x:c r="I241" s="47" t="str">
        <x:v>Whole tooth</x:v>
      </x:c>
      <x:c r="J241" s="47" t="str">
        <x:v>Single tooth / implant site</x:v>
      </x:c>
      <x:c r="K241" s="47" t="str">
        <x:v>implant</x:v>
      </x:c>
      <x:c r="L241" s="47" t="str">
        <x:v>implant</x:v>
      </x:c>
      <x:c r="M241" s="47" t="str">
        <x:v>Implant / titanium</x:v>
      </x:c>
      <x:c r="N241" s="74" t="str">
        <x:v>#6D7F2B</x:v>
      </x:c>
      <x:c r="O241" s="50" t="str">
        <x:v>High</x:v>
      </x:c>
      <x:c r="P241" s="50" t="str">
        <x:v>High</x:v>
      </x:c>
      <x:c r="Q241" s="47" t="str">
        <x:v>Implant keyword</x:v>
      </x:c>
      <x:c r="R241" s="47" t="str">
        <x:v>Exact catalogue translation</x:v>
      </x:c>
      <x:c r="S241" s="56" t="str">
        <x:v>No</x:v>
      </x:c>
      <x:c r="T241" s="46" t="str"/>
      <x:c r="U241" s="47" t="str"/>
      <x:c r="V241" s="46" t="str">
        <x:v>de5cdf73d9d2d51</x:v>
      </x:c>
    </x:row>
    <x:row r="242">
      <x:c r="A242" s="46" t="str">
        <x:v>11</x:v>
      </x:c>
      <x:c r="B242" s="46" t="str">
        <x:v>86227</x:v>
      </x:c>
      <x:c r="C242" s="46" t="str">
        <x:v>Εμφυτεύματα</x:v>
      </x:c>
      <x:c r="D242" s="47" t="str">
        <x:v>Τοποθέτηση Multi Unit</x:v>
      </x:c>
      <x:c r="E242" s="47" t="str">
        <x:v>Placement of Multi Unit</x:v>
      </x:c>
      <x:c r="F242" s="47" t="str">
        <x:v>Einbringen von Multi Unit</x:v>
      </x:c>
      <x:c r="G242" s="48" t="n">
        <x:v>0</x:v>
      </x:c>
      <x:c r="H242" s="46" t="str">
        <x:v>Yes</x:v>
      </x:c>
      <x:c r="I242" s="47" t="str">
        <x:v>Whole tooth</x:v>
      </x:c>
      <x:c r="J242" s="47" t="str">
        <x:v>Single tooth / implant site</x:v>
      </x:c>
      <x:c r="K242" s="47" t="str">
        <x:v>implant</x:v>
      </x:c>
      <x:c r="L242" s="47" t="str">
        <x:v>implant-component</x:v>
      </x:c>
      <x:c r="M242" s="47" t="str">
        <x:v>Not specified</x:v>
      </x:c>
      <x:c r="N242" s="74" t="str">
        <x:v>#6D7F2B</x:v>
      </x:c>
      <x:c r="O242" s="55" t="str">
        <x:v>Medium</x:v>
      </x:c>
      <x:c r="P242" s="50" t="str">
        <x:v>High</x:v>
      </x:c>
      <x:c r="Q242" s="47" t="str">
        <x:v>Implantology group</x:v>
      </x:c>
      <x:c r="R242" s="47" t="str">
        <x:v>Phrase-based clinical draft; language review recommended</x:v>
      </x:c>
      <x:c r="S242" s="56" t="str">
        <x:v>No</x:v>
      </x:c>
      <x:c r="T242" s="46" t="str"/>
      <x:c r="U242" s="47" t="str"/>
      <x:c r="V242" s="46" t="str">
        <x:v>d4e38b74fa82fad</x:v>
      </x:c>
    </x:row>
    <x:row r="243">
      <x:c r="A243" s="46" t="str">
        <x:v>11</x:v>
      </x:c>
      <x:c r="B243" s="46" t="str">
        <x:v>86214</x:v>
      </x:c>
      <x:c r="C243" s="46" t="str">
        <x:v>Εμφυτεύματα</x:v>
      </x:c>
      <x:c r="D243" s="47" t="str">
        <x:v>Χειρουργική αφαίρεση εμφυτεύματος</x:v>
      </x:c>
      <x:c r="E243" s="47" t="str">
        <x:v>Surgical implant removal</x:v>
      </x:c>
      <x:c r="F243" s="47" t="str">
        <x:v>Operative Implantatentfernung</x:v>
      </x:c>
      <x:c r="G243" s="48" t="n">
        <x:v>0</x:v>
      </x:c>
      <x:c r="H243" s="46" t="str">
        <x:v>Yes</x:v>
      </x:c>
      <x:c r="I243" s="47" t="str">
        <x:v>Whole tooth</x:v>
      </x:c>
      <x:c r="J243" s="47" t="str">
        <x:v>Single tooth / implant site</x:v>
      </x:c>
      <x:c r="K243" s="47" t="str">
        <x:v>implant</x:v>
      </x:c>
      <x:c r="L243" s="47" t="str">
        <x:v>implant</x:v>
      </x:c>
      <x:c r="M243" s="47" t="str">
        <x:v>Implant / titanium</x:v>
      </x:c>
      <x:c r="N243" s="74" t="str">
        <x:v>#6D7F2B</x:v>
      </x:c>
      <x:c r="O243" s="55" t="str">
        <x:v>Medium</x:v>
      </x:c>
      <x:c r="P243" s="50" t="str">
        <x:v>High</x:v>
      </x:c>
      <x:c r="Q243" s="47" t="str">
        <x:v>Implant keyword</x:v>
      </x:c>
      <x:c r="R243" s="47" t="str">
        <x:v>Phrase-based clinical draft; language review recommended</x:v>
      </x:c>
      <x:c r="S243" s="56" t="str">
        <x:v>No</x:v>
      </x:c>
      <x:c r="T243" s="46" t="str"/>
      <x:c r="U243" s="47" t="str"/>
      <x:c r="V243" s="46" t="str">
        <x:v>d98fa842ed1506f</x:v>
      </x:c>
    </x:row>
    <x:row r="244">
      <x:c r="A244" s="46" t="str">
        <x:v>12</x:v>
      </x:c>
      <x:c r="B244" s="46" t="str">
        <x:v>86121</x:v>
      </x:c>
      <x:c r="C244" s="46" t="str">
        <x:v>Πρόληψη</x:v>
      </x:c>
      <x:c r="D244" s="47" t="str">
        <x:v>Έλεγχος</x:v>
      </x:c>
      <x:c r="E244" s="47" t="str">
        <x:v>Check-up</x:v>
      </x:c>
      <x:c r="F244" s="47" t="str">
        <x:v>Kontrolle</x:v>
      </x:c>
      <x:c r="G244" s="48" t="n">
        <x:v>0</x:v>
      </x:c>
      <x:c r="H244" s="46" t="str">
        <x:v>Yes</x:v>
      </x:c>
      <x:c r="I244" s="47" t="str">
        <x:v>Patient-level / history only</x:v>
      </x:c>
      <x:c r="J244" s="47" t="str">
        <x:v>Patient / arch</x:v>
      </x:c>
      <x:c r="K244" s="47" t="str">
        <x:v>none</x:v>
      </x:c>
      <x:c r="L244" s="47" t="str">
        <x:v>prevention</x:v>
      </x:c>
      <x:c r="M244" s="47" t="str">
        <x:v>Not specified</x:v>
      </x:c>
      <x:c r="N244" s="76" t="str">
        <x:v>#8E6548</x:v>
      </x:c>
      <x:c r="O244" s="50" t="str">
        <x:v>High</x:v>
      </x:c>
      <x:c r="P244" s="50" t="str">
        <x:v>High</x:v>
      </x:c>
      <x:c r="Q244" s="47" t="str">
        <x:v>Prevention group</x:v>
      </x:c>
      <x:c r="R244" s="47" t="str">
        <x:v>Exact catalogue translation</x:v>
      </x:c>
      <x:c r="S244" s="56" t="str">
        <x:v>No</x:v>
      </x:c>
      <x:c r="T244" s="46" t="str"/>
      <x:c r="U244" s="47" t="str"/>
      <x:c r="V244" s="46" t="str">
        <x:v>dcd55bda1917806</x:v>
      </x:c>
    </x:row>
    <x:row r="245">
      <x:c r="A245" s="46" t="str">
        <x:v>12</x:v>
      </x:c>
      <x:c r="B245" s="46" t="str">
        <x:v>5020</x:v>
      </x:c>
      <x:c r="C245" s="46" t="str">
        <x:v>Πρόληψη</x:v>
      </x:c>
      <x:c r="D245" s="47" t="str">
        <x:v>ΘΕΡΑΠΕΙΑ ΜΕ ΝΑΡΘΗΚΑ ΣΥΓΚΛΕΙΣΙΑΚΟ</x:v>
      </x:c>
      <x:c r="E245" s="47" t="str">
        <x:v>Occlusal splint therapy</x:v>
      </x:c>
      <x:c r="F245" s="47" t="str">
        <x:v>Okklusionsschienentherapie</x:v>
      </x:c>
      <x:c r="G245" s="48" t="n">
        <x:v>350</x:v>
      </x:c>
      <x:c r="H245" s="46" t="str">
        <x:v>Unknown</x:v>
      </x:c>
      <x:c r="I245" s="47" t="str">
        <x:v>Patient-level / history only</x:v>
      </x:c>
      <x:c r="J245" s="47" t="str">
        <x:v>Patient / arch</x:v>
      </x:c>
      <x:c r="K245" s="47" t="str">
        <x:v>none</x:v>
      </x:c>
      <x:c r="L245" s="47" t="str">
        <x:v>splint</x:v>
      </x:c>
      <x:c r="M245" s="47" t="str">
        <x:v>Not specified</x:v>
      </x:c>
      <x:c r="N245" s="76" t="str">
        <x:v>#8E6548</x:v>
      </x:c>
      <x:c r="O245" s="50" t="str">
        <x:v>High</x:v>
      </x:c>
      <x:c r="P245" s="50" t="str">
        <x:v>High</x:v>
      </x:c>
      <x:c r="Q245" s="47" t="str">
        <x:v>Prevention group</x:v>
      </x:c>
      <x:c r="R245" s="47" t="str">
        <x:v>Exact catalogue translation</x:v>
      </x:c>
      <x:c r="S245" s="56" t="str">
        <x:v>No</x:v>
      </x:c>
      <x:c r="T245" s="46" t="str"/>
      <x:c r="U245" s="47" t="str"/>
      <x:c r="V245" s="46" t="str">
        <x:v>dc86130c4b7d11c</x:v>
      </x:c>
    </x:row>
    <x:row r="246">
      <x:c r="A246" s="46" t="str">
        <x:v>12</x:v>
      </x:c>
      <x:c r="B246" s="46" t="str">
        <x:v>86068</x:v>
      </x:c>
      <x:c r="C246" s="46" t="str">
        <x:v>Πρόληψη</x:v>
      </x:c>
      <x:c r="D246" s="47" t="str">
        <x:v>Καθαρισμός / Αποτρύγωση / Στίλβωση</x:v>
      </x:c>
      <x:c r="E246" s="47" t="str">
        <x:v>Cleaning / scaling / polishing</x:v>
      </x:c>
      <x:c r="F246" s="47" t="str">
        <x:v>Reinigung / Zahnsteinentfernung / Politur</x:v>
      </x:c>
      <x:c r="G246" s="48" t="n">
        <x:v>50</x:v>
      </x:c>
      <x:c r="H246" s="46" t="str">
        <x:v>Unknown</x:v>
      </x:c>
      <x:c r="I246" s="47" t="str">
        <x:v>Patient-level / history only</x:v>
      </x:c>
      <x:c r="J246" s="47" t="str">
        <x:v>Patient / arch</x:v>
      </x:c>
      <x:c r="K246" s="47" t="str">
        <x:v>none</x:v>
      </x:c>
      <x:c r="L246" s="47" t="str">
        <x:v>prevention</x:v>
      </x:c>
      <x:c r="M246" s="47" t="str">
        <x:v>Not specified</x:v>
      </x:c>
      <x:c r="N246" s="76" t="str">
        <x:v>#8E6548</x:v>
      </x:c>
      <x:c r="O246" s="55" t="str">
        <x:v>Medium</x:v>
      </x:c>
      <x:c r="P246" s="50" t="str">
        <x:v>High</x:v>
      </x:c>
      <x:c r="Q246" s="47" t="str">
        <x:v>Prevention group</x:v>
      </x:c>
      <x:c r="R246" s="47" t="str">
        <x:v>Phrase-based clinical draft; language review recommended</x:v>
      </x:c>
      <x:c r="S246" s="56" t="str">
        <x:v>No</x:v>
      </x:c>
      <x:c r="T246" s="46" t="str"/>
      <x:c r="U246" s="47" t="str"/>
      <x:c r="V246" s="46" t="str">
        <x:v>d33ac05090ae74f</x:v>
      </x:c>
    </x:row>
    <x:row r="247">
      <x:c r="A247" s="46" t="str">
        <x:v>12</x:v>
      </x:c>
      <x:c r="B247" s="46" t="str">
        <x:v>5014</x:v>
      </x:c>
      <x:c r="C247" s="46" t="str">
        <x:v>Πρόληψη</x:v>
      </x:c>
      <x:c r="D247" s="47" t="str">
        <x:v>Λεύκανση με νάρθηκα νυχτός</x:v>
      </x:c>
      <x:c r="E247" s="47" t="str">
        <x:v>Whitening with night tray</x:v>
      </x:c>
      <x:c r="F247" s="47" t="str">
        <x:v>Bleaching mit Nachtschiene</x:v>
      </x:c>
      <x:c r="G247" s="48" t="n">
        <x:v>250</x:v>
      </x:c>
      <x:c r="H247" s="46" t="str">
        <x:v>No</x:v>
      </x:c>
      <x:c r="I247" s="47" t="str">
        <x:v>Patient-level / history only</x:v>
      </x:c>
      <x:c r="J247" s="47" t="str">
        <x:v>Patient / arch</x:v>
      </x:c>
      <x:c r="K247" s="47" t="str">
        <x:v>none</x:v>
      </x:c>
      <x:c r="L247" s="47" t="str">
        <x:v>whitening</x:v>
      </x:c>
      <x:c r="M247" s="47" t="str">
        <x:v>Not specified</x:v>
      </x:c>
      <x:c r="N247" s="76" t="str">
        <x:v>#8E6548</x:v>
      </x:c>
      <x:c r="O247" s="55" t="str">
        <x:v>Medium</x:v>
      </x:c>
      <x:c r="P247" s="50" t="str">
        <x:v>High</x:v>
      </x:c>
      <x:c r="Q247" s="47" t="str">
        <x:v>Prevention group</x:v>
      </x:c>
      <x:c r="R247" s="47" t="str">
        <x:v>Phrase-based clinical draft; language review recommended</x:v>
      </x:c>
      <x:c r="S247" s="56" t="str">
        <x:v>No</x:v>
      </x:c>
      <x:c r="T247" s="46" t="str"/>
      <x:c r="U247" s="47" t="str"/>
      <x:c r="V247" s="46" t="str">
        <x:v>d72ec422f17eeb8</x:v>
      </x:c>
    </x:row>
    <x:row r="248">
      <x:c r="A248" s="46" t="str">
        <x:v>12</x:v>
      </x:c>
      <x:c r="B248" s="46" t="str">
        <x:v>86155</x:v>
      </x:c>
      <x:c r="C248" s="46" t="str">
        <x:v>Πρόληψη</x:v>
      </x:c>
      <x:c r="D248" s="47" t="str">
        <x:v>Λεύκανση στο ιατρείο</x:v>
      </x:c>
      <x:c r="E248" s="47" t="str">
        <x:v>In-office whitening</x:v>
      </x:c>
      <x:c r="F248" s="47" t="str">
        <x:v>In-Office-Bleaching</x:v>
      </x:c>
      <x:c r="G248" s="48" t="n">
        <x:v>300</x:v>
      </x:c>
      <x:c r="H248" s="46" t="str">
        <x:v>No</x:v>
      </x:c>
      <x:c r="I248" s="47" t="str">
        <x:v>Patient-level / history only</x:v>
      </x:c>
      <x:c r="J248" s="47" t="str">
        <x:v>Patient / arch</x:v>
      </x:c>
      <x:c r="K248" s="47" t="str">
        <x:v>none</x:v>
      </x:c>
      <x:c r="L248" s="47" t="str">
        <x:v>whitening</x:v>
      </x:c>
      <x:c r="M248" s="47" t="str">
        <x:v>Not specified</x:v>
      </x:c>
      <x:c r="N248" s="76" t="str">
        <x:v>#8E6548</x:v>
      </x:c>
      <x:c r="O248" s="55" t="str">
        <x:v>Medium</x:v>
      </x:c>
      <x:c r="P248" s="50" t="str">
        <x:v>High</x:v>
      </x:c>
      <x:c r="Q248" s="47" t="str">
        <x:v>Prevention group</x:v>
      </x:c>
      <x:c r="R248" s="47" t="str">
        <x:v>Phrase-based clinical draft; language review recommended</x:v>
      </x:c>
      <x:c r="S248" s="56" t="str">
        <x:v>No</x:v>
      </x:c>
      <x:c r="T248" s="46" t="str"/>
      <x:c r="U248" s="47" t="str"/>
      <x:c r="V248" s="46" t="str">
        <x:v>d1c6687acaf052a</x:v>
      </x:c>
    </x:row>
    <x:row r="249">
      <x:c r="A249" s="46" t="str">
        <x:v>12</x:v>
      </x:c>
      <x:c r="B249" s="46" t="str">
        <x:v>86196</x:v>
      </x:c>
      <x:c r="C249" s="46" t="str">
        <x:v>Πρόληψη</x:v>
      </x:c>
      <x:c r="D249" s="47" t="str">
        <x:v>Νάρθηκας αθλητικός</x:v>
      </x:c>
      <x:c r="E249" s="47" t="str">
        <x:v>Sports mouthguard</x:v>
      </x:c>
      <x:c r="F249" s="47" t="str">
        <x:v>Sportmundschutz</x:v>
      </x:c>
      <x:c r="G249" s="48" t="n">
        <x:v>200</x:v>
      </x:c>
      <x:c r="H249" s="46" t="str">
        <x:v>No</x:v>
      </x:c>
      <x:c r="I249" s="47" t="str">
        <x:v>Patient-level / history only</x:v>
      </x:c>
      <x:c r="J249" s="47" t="str">
        <x:v>Patient / arch</x:v>
      </x:c>
      <x:c r="K249" s="47" t="str">
        <x:v>none</x:v>
      </x:c>
      <x:c r="L249" s="47" t="str">
        <x:v>splint</x:v>
      </x:c>
      <x:c r="M249" s="47" t="str">
        <x:v>Not specified</x:v>
      </x:c>
      <x:c r="N249" s="76" t="str">
        <x:v>#8E6548</x:v>
      </x:c>
      <x:c r="O249" s="55" t="str">
        <x:v>Medium</x:v>
      </x:c>
      <x:c r="P249" s="50" t="str">
        <x:v>High</x:v>
      </x:c>
      <x:c r="Q249" s="47" t="str">
        <x:v>Prevention group</x:v>
      </x:c>
      <x:c r="R249" s="47" t="str">
        <x:v>Phrase-based clinical draft; language review recommended</x:v>
      </x:c>
      <x:c r="S249" s="56" t="str">
        <x:v>No</x:v>
      </x:c>
      <x:c r="T249" s="46" t="str"/>
      <x:c r="U249" s="47" t="str"/>
      <x:c r="V249" s="46" t="str">
        <x:v>d383150ae44acaa</x:v>
      </x:c>
    </x:row>
    <x:row r="250">
      <x:c r="A250" s="46" t="str">
        <x:v>12</x:v>
      </x:c>
      <x:c r="B250" s="46" t="str">
        <x:v>5021</x:v>
      </x:c>
      <x:c r="C250" s="46" t="str">
        <x:v>Πρόληψη</x:v>
      </x:c>
      <x:c r="D250" s="47" t="str">
        <x:v>Νάρθηκας βρουξισμού άνω γνάθος</x:v>
      </x:c>
      <x:c r="E250" s="47" t="str">
        <x:v>Bruxism splint upper jaw</x:v>
      </x:c>
      <x:c r="F250" s="47" t="str">
        <x:v>Knirscherschiene Oberkiefer</x:v>
      </x:c>
      <x:c r="G250" s="48" t="n">
        <x:v>180</x:v>
      </x:c>
      <x:c r="H250" s="46" t="str">
        <x:v>Unknown</x:v>
      </x:c>
      <x:c r="I250" s="47" t="str">
        <x:v>Patient-level / history only</x:v>
      </x:c>
      <x:c r="J250" s="47" t="str">
        <x:v>Patient / arch</x:v>
      </x:c>
      <x:c r="K250" s="47" t="str">
        <x:v>none</x:v>
      </x:c>
      <x:c r="L250" s="47" t="str">
        <x:v>splint</x:v>
      </x:c>
      <x:c r="M250" s="47" t="str">
        <x:v>Not specified</x:v>
      </x:c>
      <x:c r="N250" s="76" t="str">
        <x:v>#8E6548</x:v>
      </x:c>
      <x:c r="O250" s="55" t="str">
        <x:v>Medium</x:v>
      </x:c>
      <x:c r="P250" s="50" t="str">
        <x:v>High</x:v>
      </x:c>
      <x:c r="Q250" s="47" t="str">
        <x:v>Prevention group</x:v>
      </x:c>
      <x:c r="R250" s="47" t="str">
        <x:v>Phrase-based clinical draft; language review recommended</x:v>
      </x:c>
      <x:c r="S250" s="56" t="str">
        <x:v>No</x:v>
      </x:c>
      <x:c r="T250" s="46" t="str"/>
      <x:c r="U250" s="47" t="str"/>
      <x:c r="V250" s="46" t="str">
        <x:v>d1aca9abddab068</x:v>
      </x:c>
    </x:row>
    <x:row r="251">
      <x:c r="A251" s="46" t="str">
        <x:v>12</x:v>
      </x:c>
      <x:c r="B251" s="46" t="str">
        <x:v>86085</x:v>
      </x:c>
      <x:c r="C251" s="46" t="str">
        <x:v>Πρόληψη</x:v>
      </x:c>
      <x:c r="D251" s="47" t="str">
        <x:v>Νάρθηκας βρουξισμού άνω γνάθος (μαλακός)</x:v>
      </x:c>
      <x:c r="E251" s="47" t="str">
        <x:v>Bruxism splint upper jaw (soft)</x:v>
      </x:c>
      <x:c r="F251" s="47" t="str">
        <x:v>Knirscherschiene Oberkiefer (weich)</x:v>
      </x:c>
      <x:c r="G251" s="48" t="n">
        <x:v>100</x:v>
      </x:c>
      <x:c r="H251" s="46" t="str">
        <x:v>No</x:v>
      </x:c>
      <x:c r="I251" s="47" t="str">
        <x:v>Patient-level / history only</x:v>
      </x:c>
      <x:c r="J251" s="47" t="str">
        <x:v>Patient / arch</x:v>
      </x:c>
      <x:c r="K251" s="47" t="str">
        <x:v>none</x:v>
      </x:c>
      <x:c r="L251" s="47" t="str">
        <x:v>splint</x:v>
      </x:c>
      <x:c r="M251" s="47" t="str">
        <x:v>Not specified</x:v>
      </x:c>
      <x:c r="N251" s="76" t="str">
        <x:v>#8E6548</x:v>
      </x:c>
      <x:c r="O251" s="55" t="str">
        <x:v>Medium</x:v>
      </x:c>
      <x:c r="P251" s="50" t="str">
        <x:v>High</x:v>
      </x:c>
      <x:c r="Q251" s="47" t="str">
        <x:v>Prevention group</x:v>
      </x:c>
      <x:c r="R251" s="47" t="str">
        <x:v>Phrase-based clinical draft; language review recommended</x:v>
      </x:c>
      <x:c r="S251" s="56" t="str">
        <x:v>No</x:v>
      </x:c>
      <x:c r="T251" s="46" t="str"/>
      <x:c r="U251" s="47" t="str"/>
      <x:c r="V251" s="46" t="str">
        <x:v>dc7553908d1db5d</x:v>
      </x:c>
    </x:row>
    <x:row r="252">
      <x:c r="A252" s="46" t="str">
        <x:v>12</x:v>
      </x:c>
      <x:c r="B252" s="46" t="str">
        <x:v>86069</x:v>
      </x:c>
      <x:c r="C252" s="46" t="str">
        <x:v>Πρόληψη</x:v>
      </x:c>
      <x:c r="D252" s="47" t="str">
        <x:v>Νάρθηκας βρουξισμού κάτω γνάθος</x:v>
      </x:c>
      <x:c r="E252" s="47" t="str">
        <x:v>Bruxism splint lower jaw</x:v>
      </x:c>
      <x:c r="F252" s="47" t="str">
        <x:v>Knirscherschiene Unterkiefer</x:v>
      </x:c>
      <x:c r="G252" s="48" t="n">
        <x:v>0</x:v>
      </x:c>
      <x:c r="H252" s="46" t="str">
        <x:v>Unknown</x:v>
      </x:c>
      <x:c r="I252" s="47" t="str">
        <x:v>Patient-level / history only</x:v>
      </x:c>
      <x:c r="J252" s="47" t="str">
        <x:v>Patient / arch</x:v>
      </x:c>
      <x:c r="K252" s="47" t="str">
        <x:v>none</x:v>
      </x:c>
      <x:c r="L252" s="47" t="str">
        <x:v>splint</x:v>
      </x:c>
      <x:c r="M252" s="47" t="str">
        <x:v>Not specified</x:v>
      </x:c>
      <x:c r="N252" s="76" t="str">
        <x:v>#8E6548</x:v>
      </x:c>
      <x:c r="O252" s="55" t="str">
        <x:v>Medium</x:v>
      </x:c>
      <x:c r="P252" s="50" t="str">
        <x:v>High</x:v>
      </x:c>
      <x:c r="Q252" s="47" t="str">
        <x:v>Prevention group</x:v>
      </x:c>
      <x:c r="R252" s="47" t="str">
        <x:v>Phrase-based clinical draft; language review recommended</x:v>
      </x:c>
      <x:c r="S252" s="56" t="str">
        <x:v>No</x:v>
      </x:c>
      <x:c r="T252" s="46" t="str"/>
      <x:c r="U252" s="47" t="str"/>
      <x:c r="V252" s="46" t="str">
        <x:v>d4bc879412ceeee</x:v>
      </x:c>
    </x:row>
    <x:row r="253">
      <x:c r="A253" s="46" t="str">
        <x:v>12</x:v>
      </x:c>
      <x:c r="B253" s="46" t="str">
        <x:v>86086</x:v>
      </x:c>
      <x:c r="C253" s="46" t="str">
        <x:v>Πρόληψη</x:v>
      </x:c>
      <x:c r="D253" s="47" t="str">
        <x:v>Νάρθηκας βρουξισμού κάτω γνάθος (μαλακός)</x:v>
      </x:c>
      <x:c r="E253" s="47" t="str">
        <x:v>Bruxism splint lower jaw (soft)</x:v>
      </x:c>
      <x:c r="F253" s="47" t="str">
        <x:v>Knirscherschiene Unterkiefer (weich)</x:v>
      </x:c>
      <x:c r="G253" s="48" t="n">
        <x:v>100</x:v>
      </x:c>
      <x:c r="H253" s="46" t="str">
        <x:v>No</x:v>
      </x:c>
      <x:c r="I253" s="47" t="str">
        <x:v>Patient-level / history only</x:v>
      </x:c>
      <x:c r="J253" s="47" t="str">
        <x:v>Patient / arch</x:v>
      </x:c>
      <x:c r="K253" s="47" t="str">
        <x:v>none</x:v>
      </x:c>
      <x:c r="L253" s="47" t="str">
        <x:v>splint</x:v>
      </x:c>
      <x:c r="M253" s="47" t="str">
        <x:v>Not specified</x:v>
      </x:c>
      <x:c r="N253" s="76" t="str">
        <x:v>#8E6548</x:v>
      </x:c>
      <x:c r="O253" s="55" t="str">
        <x:v>Medium</x:v>
      </x:c>
      <x:c r="P253" s="50" t="str">
        <x:v>High</x:v>
      </x:c>
      <x:c r="Q253" s="47" t="str">
        <x:v>Prevention group</x:v>
      </x:c>
      <x:c r="R253" s="47" t="str">
        <x:v>Phrase-based clinical draft; language review recommended</x:v>
      </x:c>
      <x:c r="S253" s="56" t="str">
        <x:v>No</x:v>
      </x:c>
      <x:c r="T253" s="46" t="str"/>
      <x:c r="U253" s="47" t="str"/>
      <x:c r="V253" s="46" t="str">
        <x:v>d946bca8f2a6353</x:v>
      </x:c>
    </x:row>
    <x:row r="254">
      <x:c r="A254" s="46" t="str">
        <x:v>12</x:v>
      </x:c>
      <x:c r="B254" s="46" t="str">
        <x:v>5019</x:v>
      </x:c>
      <x:c r="C254" s="46" t="str">
        <x:v>Πρόληψη</x:v>
      </x:c>
      <x:c r="D254" s="47" t="str">
        <x:v>Νάρθηκας σύγκλισης</x:v>
      </x:c>
      <x:c r="E254" s="47" t="str">
        <x:v>Occlusal splint</x:v>
      </x:c>
      <x:c r="F254" s="47" t="str">
        <x:v>Okklusionsschiene</x:v>
      </x:c>
      <x:c r="G254" s="48" t="n">
        <x:v>0</x:v>
      </x:c>
      <x:c r="H254" s="46" t="str">
        <x:v>Unknown</x:v>
      </x:c>
      <x:c r="I254" s="47" t="str">
        <x:v>Patient-level / history only</x:v>
      </x:c>
      <x:c r="J254" s="47" t="str">
        <x:v>Patient / arch</x:v>
      </x:c>
      <x:c r="K254" s="47" t="str">
        <x:v>none</x:v>
      </x:c>
      <x:c r="L254" s="47" t="str">
        <x:v>splint</x:v>
      </x:c>
      <x:c r="M254" s="47" t="str">
        <x:v>Not specified</x:v>
      </x:c>
      <x:c r="N254" s="76" t="str">
        <x:v>#8E6548</x:v>
      </x:c>
      <x:c r="O254" s="50" t="str">
        <x:v>High</x:v>
      </x:c>
      <x:c r="P254" s="50" t="str">
        <x:v>High</x:v>
      </x:c>
      <x:c r="Q254" s="47" t="str">
        <x:v>Prevention group</x:v>
      </x:c>
      <x:c r="R254" s="47" t="str">
        <x:v>Exact catalogue translation</x:v>
      </x:c>
      <x:c r="S254" s="56" t="str">
        <x:v>No</x:v>
      </x:c>
      <x:c r="T254" s="46" t="str"/>
      <x:c r="U254" s="47" t="str"/>
      <x:c r="V254" s="46" t="str">
        <x:v>d8fa8ed6d93214d</x:v>
      </x:c>
    </x:row>
    <x:row r="255">
      <x:c r="A255" s="46" t="str">
        <x:v>13</x:v>
      </x:c>
      <x:c r="B255" s="46" t="str">
        <x:v>86042</x:v>
      </x:c>
      <x:c r="C255" s="46" t="str">
        <x:v>Οδοντ. Χειρουργική 2</x:v>
      </x:c>
      <x:c r="D255" s="47" t="str">
        <x:v>Ανασύσταση Αμαλγάματος / Καρφίδα mo</x:v>
      </x:c>
      <x:c r="E255" s="47" t="str">
        <x:v>Amalgam core build-up / pin (mesio-occlusal)</x:v>
      </x:c>
      <x:c r="F255" s="47" t="str">
        <x:v>Amalgamaufbau / Stift (mesio-okklusal)</x:v>
      </x:c>
      <x:c r="G255" s="48" t="n">
        <x:v>0</x:v>
      </x:c>
      <x:c r="H255" s="46" t="str">
        <x:v>Unknown</x:v>
      </x:c>
      <x:c r="I255" s="47" t="str">
        <x:v>Surface-based</x:v>
      </x:c>
      <x:c r="J255" s="47" t="str">
        <x:v>Tooth surfaces (optional)</x:v>
      </x:c>
      <x:c r="K255" s="47" t="str">
        <x:v>filling</x:v>
      </x:c>
      <x:c r="L255" s="47" t="str">
        <x:v>filling</x:v>
      </x:c>
      <x:c r="M255" s="47" t="str">
        <x:v>Amalgam</x:v>
      </x:c>
      <x:c r="N255" s="78" t="str">
        <x:v>#5B6BC0</x:v>
      </x:c>
      <x:c r="O255" s="55" t="str">
        <x:v>Medium</x:v>
      </x:c>
      <x:c r="P255" s="50" t="str">
        <x:v>High</x:v>
      </x:c>
      <x:c r="Q255" s="47" t="str">
        <x:v>Restoration/surface keyword</x:v>
      </x:c>
      <x:c r="R255" s="47" t="str">
        <x:v>Phrase-based clinical draft; language review recommended</x:v>
      </x:c>
      <x:c r="S255" s="56" t="str">
        <x:v>No</x:v>
      </x:c>
      <x:c r="T255" s="46" t="str"/>
      <x:c r="U255" s="47" t="str"/>
      <x:c r="V255" s="46" t="str">
        <x:v>d18e83e60ca8b8c</x:v>
      </x:c>
    </x:row>
    <x:row r="256">
      <x:c r="A256" s="46" t="str">
        <x:v>13</x:v>
      </x:c>
      <x:c r="B256" s="46" t="str">
        <x:v>86045</x:v>
      </x:c>
      <x:c r="C256" s="46" t="str">
        <x:v>Οδοντ. Χειρουργική 2</x:v>
      </x:c>
      <x:c r="D256" s="47" t="str">
        <x:v>Ανασύσταση Αμαλγάματος / Καρφίδα od</x:v>
      </x:c>
      <x:c r="E256" s="47" t="str">
        <x:v>Amalgam core build-up / pin (occluso-distal)</x:v>
      </x:c>
      <x:c r="F256" s="47" t="str">
        <x:v>Amalgamaufbau / Stift (okkluso-distal)</x:v>
      </x:c>
      <x:c r="G256" s="48" t="n">
        <x:v>0</x:v>
      </x:c>
      <x:c r="H256" s="46" t="str">
        <x:v>Unknown</x:v>
      </x:c>
      <x:c r="I256" s="47" t="str">
        <x:v>Surface-based</x:v>
      </x:c>
      <x:c r="J256" s="47" t="str">
        <x:v>Tooth surfaces (optional)</x:v>
      </x:c>
      <x:c r="K256" s="47" t="str">
        <x:v>filling</x:v>
      </x:c>
      <x:c r="L256" s="47" t="str">
        <x:v>filling</x:v>
      </x:c>
      <x:c r="M256" s="47" t="str">
        <x:v>Amalgam</x:v>
      </x:c>
      <x:c r="N256" s="78" t="str">
        <x:v>#5B6BC0</x:v>
      </x:c>
      <x:c r="O256" s="55" t="str">
        <x:v>Medium</x:v>
      </x:c>
      <x:c r="P256" s="50" t="str">
        <x:v>High</x:v>
      </x:c>
      <x:c r="Q256" s="47" t="str">
        <x:v>Restoration/surface keyword</x:v>
      </x:c>
      <x:c r="R256" s="47" t="str">
        <x:v>Phrase-based clinical draft; language review recommended</x:v>
      </x:c>
      <x:c r="S256" s="56" t="str">
        <x:v>No</x:v>
      </x:c>
      <x:c r="T256" s="46" t="str"/>
      <x:c r="U256" s="47" t="str"/>
      <x:c r="V256" s="46" t="str">
        <x:v>d6cd0d38fd6472f</x:v>
      </x:c>
    </x:row>
    <x:row r="257">
      <x:c r="A257" s="46" t="str">
        <x:v>13</x:v>
      </x:c>
      <x:c r="B257" s="46" t="str">
        <x:v>86207</x:v>
      </x:c>
      <x:c r="C257" s="46" t="str">
        <x:v>Οδοντ. Χειρουργική 2</x:v>
      </x:c>
      <x:c r="D257" s="47" t="str">
        <x:v>Ανασύσταση υαλοϊονομερούς</x:v>
      </x:c>
      <x:c r="E257" s="47" t="str">
        <x:v>Glass-ionomer reconstruction</x:v>
      </x:c>
      <x:c r="F257" s="47" t="str">
        <x:v>Glasionomeraufbau</x:v>
      </x:c>
      <x:c r="G257" s="48" t="n">
        <x:v>40</x:v>
      </x:c>
      <x:c r="H257" s="46" t="str">
        <x:v>Yes</x:v>
      </x:c>
      <x:c r="I257" s="47" t="str">
        <x:v>Surface-based</x:v>
      </x:c>
      <x:c r="J257" s="47" t="str">
        <x:v>Tooth surfaces (optional)</x:v>
      </x:c>
      <x:c r="K257" s="47" t="str">
        <x:v>filling</x:v>
      </x:c>
      <x:c r="L257" s="47" t="str">
        <x:v>filling</x:v>
      </x:c>
      <x:c r="M257" s="47" t="str">
        <x:v>Glass ionomer</x:v>
      </x:c>
      <x:c r="N257" s="78" t="str">
        <x:v>#5B6BC0</x:v>
      </x:c>
      <x:c r="O257" s="55" t="str">
        <x:v>Medium</x:v>
      </x:c>
      <x:c r="P257" s="50" t="str">
        <x:v>High</x:v>
      </x:c>
      <x:c r="Q257" s="47" t="str">
        <x:v>Restoration/surface keyword</x:v>
      </x:c>
      <x:c r="R257" s="47" t="str">
        <x:v>Phrase-based clinical draft; language review recommended</x:v>
      </x:c>
      <x:c r="S257" s="56" t="str">
        <x:v>No</x:v>
      </x:c>
      <x:c r="T257" s="46" t="str"/>
      <x:c r="U257" s="47" t="str"/>
      <x:c r="V257" s="46" t="str">
        <x:v>d75d29902df9f07</x:v>
      </x:c>
    </x:row>
    <x:row r="258">
      <x:c r="A258" s="46" t="str">
        <x:v>13</x:v>
      </x:c>
      <x:c r="B258" s="46" t="str">
        <x:v>86119</x:v>
      </x:c>
      <x:c r="C258" s="46" t="str">
        <x:v>Οδοντ. Χειρουργική 2</x:v>
      </x:c>
      <x:c r="D258" s="47" t="str">
        <x:v>Αφαίρεση παλιάς (ανεπαρκούς) έμφραξης</x:v>
      </x:c>
      <x:c r="E258" s="47" t="str">
        <x:v>Removal of old inadequate restoration</x:v>
      </x:c>
      <x:c r="F258" s="47" t="str">
        <x:v>Entfernung einer alten unzureichenden Füllung</x:v>
      </x:c>
      <x:c r="G258" s="48" t="n">
        <x:v>0</x:v>
      </x:c>
      <x:c r="H258" s="46" t="str">
        <x:v>Yes</x:v>
      </x:c>
      <x:c r="I258" s="47" t="str">
        <x:v>Surface-based</x:v>
      </x:c>
      <x:c r="J258" s="47" t="str">
        <x:v>Tooth surfaces (optional)</x:v>
      </x:c>
      <x:c r="K258" s="47" t="str">
        <x:v>filling</x:v>
      </x:c>
      <x:c r="L258" s="47" t="str">
        <x:v>filling</x:v>
      </x:c>
      <x:c r="M258" s="47" t="str">
        <x:v>Not specified</x:v>
      </x:c>
      <x:c r="N258" s="78" t="str">
        <x:v>#5B6BC0</x:v>
      </x:c>
      <x:c r="O258" s="50" t="str">
        <x:v>High</x:v>
      </x:c>
      <x:c r="P258" s="50" t="str">
        <x:v>High</x:v>
      </x:c>
      <x:c r="Q258" s="47" t="str">
        <x:v>Restoration/surface keyword</x:v>
      </x:c>
      <x:c r="R258" s="47" t="str">
        <x:v>Exact catalogue translation</x:v>
      </x:c>
      <x:c r="S258" s="56" t="str">
        <x:v>No</x:v>
      </x:c>
      <x:c r="T258" s="46" t="str"/>
      <x:c r="U258" s="47" t="str"/>
      <x:c r="V258" s="46" t="str">
        <x:v>dabcc1bfa8c5587</x:v>
      </x:c>
    </x:row>
    <x:row r="259">
      <x:c r="A259" s="46" t="str">
        <x:v>13</x:v>
      </x:c>
      <x:c r="B259" s="46" t="str">
        <x:v>86044</x:v>
      </x:c>
      <x:c r="C259" s="46" t="str">
        <x:v>Οδοντ. Χειρουργική 2</x:v>
      </x:c>
      <x:c r="D259" s="47" t="str">
        <x:v>Έμφραξη Αμαλγάματος ο</x:v>
      </x:c>
      <x:c r="E259" s="47" t="str">
        <x:v>Amalgam restoration (occlusal)</x:v>
      </x:c>
      <x:c r="F259" s="47" t="str">
        <x:v>Amalgamfüllung (okklusal)</x:v>
      </x:c>
      <x:c r="G259" s="48" t="n">
        <x:v>0</x:v>
      </x:c>
      <x:c r="H259" s="46" t="str">
        <x:v>Unknown</x:v>
      </x:c>
      <x:c r="I259" s="47" t="str">
        <x:v>Surface-based</x:v>
      </x:c>
      <x:c r="J259" s="47" t="str">
        <x:v>Tooth surfaces (optional)</x:v>
      </x:c>
      <x:c r="K259" s="47" t="str">
        <x:v>filling</x:v>
      </x:c>
      <x:c r="L259" s="47" t="str">
        <x:v>filling</x:v>
      </x:c>
      <x:c r="M259" s="47" t="str">
        <x:v>Amalgam</x:v>
      </x:c>
      <x:c r="N259" s="78" t="str">
        <x:v>#5B6BC0</x:v>
      </x:c>
      <x:c r="O259" s="50" t="str">
        <x:v>High</x:v>
      </x:c>
      <x:c r="P259" s="50" t="str">
        <x:v>High</x:v>
      </x:c>
      <x:c r="Q259" s="47" t="str">
        <x:v>Restoration/surface keyword</x:v>
      </x:c>
      <x:c r="R259" s="47" t="str">
        <x:v>Exact catalogue translation</x:v>
      </x:c>
      <x:c r="S259" s="56" t="str">
        <x:v>No</x:v>
      </x:c>
      <x:c r="T259" s="46" t="str"/>
      <x:c r="U259" s="47" t="str"/>
      <x:c r="V259" s="46" t="str">
        <x:v>d69df5e1df4b3c7</x:v>
      </x:c>
    </x:row>
    <x:row r="260">
      <x:c r="A260" s="46" t="str">
        <x:v>13</x:v>
      </x:c>
      <x:c r="B260" s="46" t="str">
        <x:v>86043</x:v>
      </x:c>
      <x:c r="C260" s="46" t="str">
        <x:v>Οδοντ. Χειρουργική 2</x:v>
      </x:c>
      <x:c r="D260" s="47" t="str">
        <x:v>Έμφραξη Αμαλγάματος παριακού βοθρίου</x:v>
      </x:c>
      <x:c r="E260" s="47" t="str">
        <x:v>Amalgam restoration buccal pit</x:v>
      </x:c>
      <x:c r="F260" s="47" t="str">
        <x:v>Amalgamfüllung Bukkalgrübchen</x:v>
      </x:c>
      <x:c r="G260" s="48" t="n">
        <x:v>20</x:v>
      </x:c>
      <x:c r="H260" s="46" t="str">
        <x:v>Unknown</x:v>
      </x:c>
      <x:c r="I260" s="47" t="str">
        <x:v>Surface-based</x:v>
      </x:c>
      <x:c r="J260" s="47" t="str">
        <x:v>Tooth surfaces (optional)</x:v>
      </x:c>
      <x:c r="K260" s="47" t="str">
        <x:v>filling</x:v>
      </x:c>
      <x:c r="L260" s="47" t="str">
        <x:v>filling</x:v>
      </x:c>
      <x:c r="M260" s="47" t="str">
        <x:v>Amalgam</x:v>
      </x:c>
      <x:c r="N260" s="78" t="str">
        <x:v>#5B6BC0</x:v>
      </x:c>
      <x:c r="O260" s="55" t="str">
        <x:v>Medium</x:v>
      </x:c>
      <x:c r="P260" s="50" t="str">
        <x:v>High</x:v>
      </x:c>
      <x:c r="Q260" s="47" t="str">
        <x:v>Restoration/surface keyword</x:v>
      </x:c>
      <x:c r="R260" s="47" t="str">
        <x:v>Phrase-based clinical draft; language review recommended</x:v>
      </x:c>
      <x:c r="S260" s="56" t="str">
        <x:v>No</x:v>
      </x:c>
      <x:c r="T260" s="46" t="str"/>
      <x:c r="U260" s="47" t="str"/>
      <x:c r="V260" s="46" t="str">
        <x:v>d1d3ba4830fc8d8</x:v>
      </x:c>
    </x:row>
    <x:row r="261">
      <x:c r="A261" s="46" t="str">
        <x:v>13</x:v>
      </x:c>
      <x:c r="B261" s="46" t="str">
        <x:v>86041</x:v>
      </x:c>
      <x:c r="C261" s="46" t="str">
        <x:v>Οδοντ. Χειρουργική 2</x:v>
      </x:c>
      <x:c r="D261" s="47" t="str">
        <x:v>Έμφραξη Αμαλγάματος υπερώια αύλακα</x:v>
      </x:c>
      <x:c r="E261" s="47" t="str">
        <x:v>Amalgam restoration palatal groove</x:v>
      </x:c>
      <x:c r="F261" s="47" t="str">
        <x:v>Amalgamfüllung Palatinalfurche</x:v>
      </x:c>
      <x:c r="G261" s="48" t="n">
        <x:v>0</x:v>
      </x:c>
      <x:c r="H261" s="46" t="str">
        <x:v>Unknown</x:v>
      </x:c>
      <x:c r="I261" s="47" t="str">
        <x:v>Surface-based</x:v>
      </x:c>
      <x:c r="J261" s="47" t="str">
        <x:v>Tooth surfaces (optional)</x:v>
      </x:c>
      <x:c r="K261" s="47" t="str">
        <x:v>filling</x:v>
      </x:c>
      <x:c r="L261" s="47" t="str">
        <x:v>filling</x:v>
      </x:c>
      <x:c r="M261" s="47" t="str">
        <x:v>Amalgam</x:v>
      </x:c>
      <x:c r="N261" s="78" t="str">
        <x:v>#5B6BC0</x:v>
      </x:c>
      <x:c r="O261" s="55" t="str">
        <x:v>Medium</x:v>
      </x:c>
      <x:c r="P261" s="50" t="str">
        <x:v>High</x:v>
      </x:c>
      <x:c r="Q261" s="47" t="str">
        <x:v>Restoration/surface keyword</x:v>
      </x:c>
      <x:c r="R261" s="47" t="str">
        <x:v>Phrase-based clinical draft; language review recommended</x:v>
      </x:c>
      <x:c r="S261" s="56" t="str">
        <x:v>No</x:v>
      </x:c>
      <x:c r="T261" s="46" t="str"/>
      <x:c r="U261" s="47" t="str"/>
      <x:c r="V261" s="46" t="str">
        <x:v>d5f43a481f8de22</x:v>
      </x:c>
    </x:row>
    <x:row r="262">
      <x:c r="A262" s="46" t="str">
        <x:v>13</x:v>
      </x:c>
      <x:c r="B262" s="46" t="str">
        <x:v>86037</x:v>
      </x:c>
      <x:c r="C262" s="46" t="str">
        <x:v>Οδοντ. Χειρουργική 2</x:v>
      </x:c>
      <x:c r="D262" s="47" t="str">
        <x:v>Έμφραξη Αμαλγάματος mo</x:v>
      </x:c>
      <x:c r="E262" s="47" t="str">
        <x:v>Amalgam restoration (mesio-occlusal)</x:v>
      </x:c>
      <x:c r="F262" s="47" t="str">
        <x:v>Amalgamfüllung (mesio-okklusal)</x:v>
      </x:c>
      <x:c r="G262" s="48" t="n">
        <x:v>40</x:v>
      </x:c>
      <x:c r="H262" s="46" t="str">
        <x:v>Unknown</x:v>
      </x:c>
      <x:c r="I262" s="47" t="str">
        <x:v>Surface-based</x:v>
      </x:c>
      <x:c r="J262" s="47" t="str">
        <x:v>Tooth surfaces (optional)</x:v>
      </x:c>
      <x:c r="K262" s="47" t="str">
        <x:v>filling</x:v>
      </x:c>
      <x:c r="L262" s="47" t="str">
        <x:v>filling</x:v>
      </x:c>
      <x:c r="M262" s="47" t="str">
        <x:v>Amalgam</x:v>
      </x:c>
      <x:c r="N262" s="78" t="str">
        <x:v>#5B6BC0</x:v>
      </x:c>
      <x:c r="O262" s="55" t="str">
        <x:v>Medium</x:v>
      </x:c>
      <x:c r="P262" s="50" t="str">
        <x:v>High</x:v>
      </x:c>
      <x:c r="Q262" s="47" t="str">
        <x:v>Restoration/surface keyword</x:v>
      </x:c>
      <x:c r="R262" s="47" t="str">
        <x:v>Phrase-based clinical draft; language review recommended</x:v>
      </x:c>
      <x:c r="S262" s="56" t="str">
        <x:v>No</x:v>
      </x:c>
      <x:c r="T262" s="46" t="str"/>
      <x:c r="U262" s="47" t="str"/>
      <x:c r="V262" s="46" t="str">
        <x:v>d2796cd60040b9d</x:v>
      </x:c>
    </x:row>
    <x:row r="263">
      <x:c r="A263" s="46" t="str">
        <x:v>13</x:v>
      </x:c>
      <x:c r="B263" s="46" t="str">
        <x:v>86039</x:v>
      </x:c>
      <x:c r="C263" s="46" t="str">
        <x:v>Οδοντ. Χειρουργική 2</x:v>
      </x:c>
      <x:c r="D263" s="47" t="str">
        <x:v>Έμφραξη Αμαλγάματος mod</x:v>
      </x:c>
      <x:c r="E263" s="47" t="str">
        <x:v>Amalgam restoration (mesio-occluso-distal)</x:v>
      </x:c>
      <x:c r="F263" s="47" t="str">
        <x:v>Amalgamfüllung (mesio-okkluso-distal)</x:v>
      </x:c>
      <x:c r="G263" s="48" t="n">
        <x:v>50</x:v>
      </x:c>
      <x:c r="H263" s="46" t="str">
        <x:v>Unknown</x:v>
      </x:c>
      <x:c r="I263" s="47" t="str">
        <x:v>Surface-based</x:v>
      </x:c>
      <x:c r="J263" s="47" t="str">
        <x:v>Tooth surfaces (optional)</x:v>
      </x:c>
      <x:c r="K263" s="47" t="str">
        <x:v>filling</x:v>
      </x:c>
      <x:c r="L263" s="47" t="str">
        <x:v>filling</x:v>
      </x:c>
      <x:c r="M263" s="47" t="str">
        <x:v>Amalgam</x:v>
      </x:c>
      <x:c r="N263" s="78" t="str">
        <x:v>#5B6BC0</x:v>
      </x:c>
      <x:c r="O263" s="55" t="str">
        <x:v>Medium</x:v>
      </x:c>
      <x:c r="P263" s="50" t="str">
        <x:v>High</x:v>
      </x:c>
      <x:c r="Q263" s="47" t="str">
        <x:v>Restoration/surface keyword</x:v>
      </x:c>
      <x:c r="R263" s="47" t="str">
        <x:v>Phrase-based clinical draft; language review recommended</x:v>
      </x:c>
      <x:c r="S263" s="56" t="str">
        <x:v>No</x:v>
      </x:c>
      <x:c r="T263" s="46" t="str"/>
      <x:c r="U263" s="47" t="str"/>
      <x:c r="V263" s="46" t="str">
        <x:v>d853cc14bb27827</x:v>
      </x:c>
    </x:row>
    <x:row r="264">
      <x:c r="A264" s="46" t="str">
        <x:v>13</x:v>
      </x:c>
      <x:c r="B264" s="46" t="str">
        <x:v>86038</x:v>
      </x:c>
      <x:c r="C264" s="46" t="str">
        <x:v>Οδοντ. Χειρουργική 2</x:v>
      </x:c>
      <x:c r="D264" s="47" t="str">
        <x:v>Έμφραξη Αμαλγάματος od</x:v>
      </x:c>
      <x:c r="E264" s="47" t="str">
        <x:v>Amalgam restoration (occluso-distal)</x:v>
      </x:c>
      <x:c r="F264" s="47" t="str">
        <x:v>Amalgamfüllung (okkluso-distal)</x:v>
      </x:c>
      <x:c r="G264" s="48" t="n">
        <x:v>40</x:v>
      </x:c>
      <x:c r="H264" s="46" t="str">
        <x:v>Unknown</x:v>
      </x:c>
      <x:c r="I264" s="47" t="str">
        <x:v>Surface-based</x:v>
      </x:c>
      <x:c r="J264" s="47" t="str">
        <x:v>Tooth surfaces (optional)</x:v>
      </x:c>
      <x:c r="K264" s="47" t="str">
        <x:v>filling</x:v>
      </x:c>
      <x:c r="L264" s="47" t="str">
        <x:v>filling</x:v>
      </x:c>
      <x:c r="M264" s="47" t="str">
        <x:v>Amalgam</x:v>
      </x:c>
      <x:c r="N264" s="78" t="str">
        <x:v>#5B6BC0</x:v>
      </x:c>
      <x:c r="O264" s="55" t="str">
        <x:v>Medium</x:v>
      </x:c>
      <x:c r="P264" s="50" t="str">
        <x:v>High</x:v>
      </x:c>
      <x:c r="Q264" s="47" t="str">
        <x:v>Restoration/surface keyword</x:v>
      </x:c>
      <x:c r="R264" s="47" t="str">
        <x:v>Phrase-based clinical draft; language review recommended</x:v>
      </x:c>
      <x:c r="S264" s="56" t="str">
        <x:v>No</x:v>
      </x:c>
      <x:c r="T264" s="46" t="str"/>
      <x:c r="U264" s="47" t="str"/>
      <x:c r="V264" s="46" t="str">
        <x:v>d0c57593ae6d0d7</x:v>
      </x:c>
    </x:row>
    <x:row r="265">
      <x:c r="A265" s="46" t="str">
        <x:v>13</x:v>
      </x:c>
      <x:c r="B265" s="46" t="str">
        <x:v>86040</x:v>
      </x:c>
      <x:c r="C265" s="46" t="str">
        <x:v>Οδοντ. Χειρουργική 2</x:v>
      </x:c>
      <x:c r="D265" s="47" t="str">
        <x:v>Έμφραξη Αμαλγάματος V ομάδας</x:v>
      </x:c>
      <x:c r="E265" s="47" t="str">
        <x:v>Class V amalgam restoration</x:v>
      </x:c>
      <x:c r="F265" s="47" t="str">
        <x:v>Amalgamfüllung Klasse V</x:v>
      </x:c>
      <x:c r="G265" s="48" t="n">
        <x:v>40</x:v>
      </x:c>
      <x:c r="H265" s="46" t="str">
        <x:v>Unknown</x:v>
      </x:c>
      <x:c r="I265" s="47" t="str">
        <x:v>Surface-based</x:v>
      </x:c>
      <x:c r="J265" s="47" t="str">
        <x:v>Tooth surfaces (optional)</x:v>
      </x:c>
      <x:c r="K265" s="47" t="str">
        <x:v>filling</x:v>
      </x:c>
      <x:c r="L265" s="47" t="str">
        <x:v>filling</x:v>
      </x:c>
      <x:c r="M265" s="47" t="str">
        <x:v>Amalgam</x:v>
      </x:c>
      <x:c r="N265" s="78" t="str">
        <x:v>#5B6BC0</x:v>
      </x:c>
      <x:c r="O265" s="50" t="str">
        <x:v>High</x:v>
      </x:c>
      <x:c r="P265" s="50" t="str">
        <x:v>High</x:v>
      </x:c>
      <x:c r="Q265" s="47" t="str">
        <x:v>Restoration/surface keyword</x:v>
      </x:c>
      <x:c r="R265" s="47" t="str">
        <x:v>Exact catalogue translation</x:v>
      </x:c>
      <x:c r="S265" s="56" t="str">
        <x:v>No</x:v>
      </x:c>
      <x:c r="T265" s="46" t="str"/>
      <x:c r="U265" s="47" t="str"/>
      <x:c r="V265" s="46" t="str">
        <x:v>dcd6e19d3fb9456</x:v>
      </x:c>
    </x:row>
    <x:row r="266">
      <x:c r="A266" s="46" t="str">
        <x:v>13</x:v>
      </x:c>
      <x:c r="B266" s="46" t="str">
        <x:v>86075</x:v>
      </x:c>
      <x:c r="C266" s="46" t="str">
        <x:v>Οδοντ. Χειρουργική 2</x:v>
      </x:c>
      <x:c r="D266" s="47" t="str">
        <x:v>Έμφραξη υαλοϊονομερούς mo</x:v>
      </x:c>
      <x:c r="E266" s="47" t="str">
        <x:v>Glass-ionomer restoration (mesio-occlusal)</x:v>
      </x:c>
      <x:c r="F266" s="47" t="str">
        <x:v>Glasionomerfüllung (mesio-okklusal)</x:v>
      </x:c>
      <x:c r="G266" s="48" t="n">
        <x:v>40</x:v>
      </x:c>
      <x:c r="H266" s="46" t="str">
        <x:v>Unknown</x:v>
      </x:c>
      <x:c r="I266" s="47" t="str">
        <x:v>Surface-based</x:v>
      </x:c>
      <x:c r="J266" s="47" t="str">
        <x:v>Tooth surfaces (optional)</x:v>
      </x:c>
      <x:c r="K266" s="47" t="str">
        <x:v>filling</x:v>
      </x:c>
      <x:c r="L266" s="47" t="str">
        <x:v>filling</x:v>
      </x:c>
      <x:c r="M266" s="47" t="str">
        <x:v>Glass ionomer</x:v>
      </x:c>
      <x:c r="N266" s="78" t="str">
        <x:v>#5B6BC0</x:v>
      </x:c>
      <x:c r="O266" s="55" t="str">
        <x:v>Medium</x:v>
      </x:c>
      <x:c r="P266" s="50" t="str">
        <x:v>High</x:v>
      </x:c>
      <x:c r="Q266" s="47" t="str">
        <x:v>Restoration/surface keyword</x:v>
      </x:c>
      <x:c r="R266" s="47" t="str">
        <x:v>Phrase-based clinical draft; language review recommended</x:v>
      </x:c>
      <x:c r="S266" s="56" t="str">
        <x:v>No</x:v>
      </x:c>
      <x:c r="T266" s="46" t="str"/>
      <x:c r="U266" s="47" t="str"/>
      <x:c r="V266" s="46" t="str">
        <x:v>daf70e586a5bc1a</x:v>
      </x:c>
    </x:row>
    <x:row r="267">
      <x:c r="A267" s="46" t="str">
        <x:v>13</x:v>
      </x:c>
      <x:c r="B267" s="46" t="str">
        <x:v>86078</x:v>
      </x:c>
      <x:c r="C267" s="46" t="str">
        <x:v>Οδοντ. Χειρουργική 2</x:v>
      </x:c>
      <x:c r="D267" s="47" t="str">
        <x:v>Έμφραξη υαλοϊονομερούς mod</x:v>
      </x:c>
      <x:c r="E267" s="47" t="str">
        <x:v>Glass-ionomer restoration (mesio-occluso-distal)</x:v>
      </x:c>
      <x:c r="F267" s="47" t="str">
        <x:v>Glasionomerfüllung (mesio-okkluso-distal)</x:v>
      </x:c>
      <x:c r="G267" s="48" t="n">
        <x:v>40</x:v>
      </x:c>
      <x:c r="H267" s="46" t="str">
        <x:v>Unknown</x:v>
      </x:c>
      <x:c r="I267" s="47" t="str">
        <x:v>Surface-based</x:v>
      </x:c>
      <x:c r="J267" s="47" t="str">
        <x:v>Tooth surfaces (optional)</x:v>
      </x:c>
      <x:c r="K267" s="47" t="str">
        <x:v>filling</x:v>
      </x:c>
      <x:c r="L267" s="47" t="str">
        <x:v>filling</x:v>
      </x:c>
      <x:c r="M267" s="47" t="str">
        <x:v>Glass ionomer</x:v>
      </x:c>
      <x:c r="N267" s="78" t="str">
        <x:v>#5B6BC0</x:v>
      </x:c>
      <x:c r="O267" s="55" t="str">
        <x:v>Medium</x:v>
      </x:c>
      <x:c r="P267" s="50" t="str">
        <x:v>High</x:v>
      </x:c>
      <x:c r="Q267" s="47" t="str">
        <x:v>Restoration/surface keyword</x:v>
      </x:c>
      <x:c r="R267" s="47" t="str">
        <x:v>Phrase-based clinical draft; language review recommended</x:v>
      </x:c>
      <x:c r="S267" s="56" t="str">
        <x:v>No</x:v>
      </x:c>
      <x:c r="T267" s="46" t="str"/>
      <x:c r="U267" s="47" t="str"/>
      <x:c r="V267" s="46" t="str">
        <x:v>dbe9a0d8e008455</x:v>
      </x:c>
    </x:row>
    <x:row r="268">
      <x:c r="A268" s="46" t="str">
        <x:v>13</x:v>
      </x:c>
      <x:c r="B268" s="46" t="str">
        <x:v>86076</x:v>
      </x:c>
      <x:c r="C268" s="46" t="str">
        <x:v>Οδοντ. Χειρουργική 2</x:v>
      </x:c>
      <x:c r="D268" s="47" t="str">
        <x:v>Έμφραξη υαλοϊονομερούς o</x:v>
      </x:c>
      <x:c r="E268" s="47" t="str">
        <x:v>Glass-ionomer restoration (occlusal)</x:v>
      </x:c>
      <x:c r="F268" s="47" t="str">
        <x:v>Glasionomerfüllung (okklusal)</x:v>
      </x:c>
      <x:c r="G268" s="48" t="n">
        <x:v>30</x:v>
      </x:c>
      <x:c r="H268" s="46" t="str">
        <x:v>Unknown</x:v>
      </x:c>
      <x:c r="I268" s="47" t="str">
        <x:v>Surface-based</x:v>
      </x:c>
      <x:c r="J268" s="47" t="str">
        <x:v>Tooth surfaces (optional)</x:v>
      </x:c>
      <x:c r="K268" s="47" t="str">
        <x:v>filling</x:v>
      </x:c>
      <x:c r="L268" s="47" t="str">
        <x:v>filling</x:v>
      </x:c>
      <x:c r="M268" s="47" t="str">
        <x:v>Glass ionomer</x:v>
      </x:c>
      <x:c r="N268" s="78" t="str">
        <x:v>#5B6BC0</x:v>
      </x:c>
      <x:c r="O268" s="55" t="str">
        <x:v>Medium</x:v>
      </x:c>
      <x:c r="P268" s="50" t="str">
        <x:v>High</x:v>
      </x:c>
      <x:c r="Q268" s="47" t="str">
        <x:v>Restoration/surface keyword</x:v>
      </x:c>
      <x:c r="R268" s="47" t="str">
        <x:v>Phrase-based clinical draft; language review recommended</x:v>
      </x:c>
      <x:c r="S268" s="56" t="str">
        <x:v>No</x:v>
      </x:c>
      <x:c r="T268" s="46" t="str"/>
      <x:c r="U268" s="47" t="str"/>
      <x:c r="V268" s="46" t="str">
        <x:v>d5461c6482a230e</x:v>
      </x:c>
    </x:row>
    <x:row r="269">
      <x:c r="A269" s="46" t="str">
        <x:v>13</x:v>
      </x:c>
      <x:c r="B269" s="46" t="str">
        <x:v>86077</x:v>
      </x:c>
      <x:c r="C269" s="46" t="str">
        <x:v>Οδοντ. Χειρουργική 2</x:v>
      </x:c>
      <x:c r="D269" s="47" t="str">
        <x:v>Έμφραξη υαλοϊονομερούς od</x:v>
      </x:c>
      <x:c r="E269" s="47" t="str">
        <x:v>Glass-ionomer restoration (occluso-distal)</x:v>
      </x:c>
      <x:c r="F269" s="47" t="str">
        <x:v>Glasionomerfüllung (okkluso-distal)</x:v>
      </x:c>
      <x:c r="G269" s="48" t="n">
        <x:v>40</x:v>
      </x:c>
      <x:c r="H269" s="46" t="str">
        <x:v>Unknown</x:v>
      </x:c>
      <x:c r="I269" s="47" t="str">
        <x:v>Surface-based</x:v>
      </x:c>
      <x:c r="J269" s="47" t="str">
        <x:v>Tooth surfaces (optional)</x:v>
      </x:c>
      <x:c r="K269" s="47" t="str">
        <x:v>filling</x:v>
      </x:c>
      <x:c r="L269" s="47" t="str">
        <x:v>filling</x:v>
      </x:c>
      <x:c r="M269" s="47" t="str">
        <x:v>Glass ionomer</x:v>
      </x:c>
      <x:c r="N269" s="78" t="str">
        <x:v>#5B6BC0</x:v>
      </x:c>
      <x:c r="O269" s="55" t="str">
        <x:v>Medium</x:v>
      </x:c>
      <x:c r="P269" s="50" t="str">
        <x:v>High</x:v>
      </x:c>
      <x:c r="Q269" s="47" t="str">
        <x:v>Restoration/surface keyword</x:v>
      </x:c>
      <x:c r="R269" s="47" t="str">
        <x:v>Phrase-based clinical draft; language review recommended</x:v>
      </x:c>
      <x:c r="S269" s="56" t="str">
        <x:v>No</x:v>
      </x:c>
      <x:c r="T269" s="46" t="str"/>
      <x:c r="U269" s="47" t="str"/>
      <x:c r="V269" s="46" t="str">
        <x:v>de8919bcb176c58</x:v>
      </x:c>
    </x:row>
    <x:row r="270">
      <x:c r="A270" s="46" t="str">
        <x:v>13</x:v>
      </x:c>
      <x:c r="B270" s="46" t="str">
        <x:v>86079</x:v>
      </x:c>
      <x:c r="C270" s="46" t="str">
        <x:v>Οδοντ. Χειρουργική 2</x:v>
      </x:c>
      <x:c r="D270" s="47" t="str">
        <x:v>Έμφραξη υαλοϊονομερούς V ομάδας</x:v>
      </x:c>
      <x:c r="E270" s="47" t="str">
        <x:v>Class V glass-ionomer restoration</x:v>
      </x:c>
      <x:c r="F270" s="47" t="str">
        <x:v>Glasionomerfüllung Klasse V</x:v>
      </x:c>
      <x:c r="G270" s="48" t="n">
        <x:v>30</x:v>
      </x:c>
      <x:c r="H270" s="46" t="str">
        <x:v>Yes</x:v>
      </x:c>
      <x:c r="I270" s="47" t="str">
        <x:v>Surface-based</x:v>
      </x:c>
      <x:c r="J270" s="47" t="str">
        <x:v>Tooth surfaces (optional)</x:v>
      </x:c>
      <x:c r="K270" s="47" t="str">
        <x:v>filling</x:v>
      </x:c>
      <x:c r="L270" s="47" t="str">
        <x:v>filling</x:v>
      </x:c>
      <x:c r="M270" s="47" t="str">
        <x:v>Glass ionomer</x:v>
      </x:c>
      <x:c r="N270" s="78" t="str">
        <x:v>#5B6BC0</x:v>
      </x:c>
      <x:c r="O270" s="50" t="str">
        <x:v>High</x:v>
      </x:c>
      <x:c r="P270" s="50" t="str">
        <x:v>High</x:v>
      </x:c>
      <x:c r="Q270" s="47" t="str">
        <x:v>Restoration/surface keyword</x:v>
      </x:c>
      <x:c r="R270" s="47" t="str">
        <x:v>Exact catalogue translation</x:v>
      </x:c>
      <x:c r="S270" s="56" t="str">
        <x:v>No</x:v>
      </x:c>
      <x:c r="T270" s="46" t="str"/>
      <x:c r="U270" s="47" t="str"/>
      <x:c r="V270" s="46" t="str">
        <x:v>d0c82b3d98fbc6c</x:v>
      </x:c>
    </x:row>
    <x:row r="271">
      <x:c r="A271" s="46" t="str">
        <x:v>13</x:v>
      </x:c>
      <x:c r="B271" s="46" t="str">
        <x:v>86138</x:v>
      </x:c>
      <x:c r="C271" s="46" t="str">
        <x:v>Οδοντ. Χειρουργική 2</x:v>
      </x:c>
      <x:c r="D271" s="47" t="str">
        <x:v>Ουδέτερο στρώμα</x:v>
      </x:c>
      <x:c r="E271" s="47" t="str">
        <x:v>Liner/base</x:v>
      </x:c>
      <x:c r="F271" s="47" t="str">
        <x:v>Unterfüllung</x:v>
      </x:c>
      <x:c r="G271" s="48" t="n">
        <x:v>0</x:v>
      </x:c>
      <x:c r="H271" s="46" t="str">
        <x:v>Unknown</x:v>
      </x:c>
      <x:c r="I271" s="47" t="str">
        <x:v>Patient-level / history only</x:v>
      </x:c>
      <x:c r="J271" s="47" t="str">
        <x:v>Patient</x:v>
      </x:c>
      <x:c r="K271" s="47" t="str">
        <x:v>none</x:v>
      </x:c>
      <x:c r="L271" s="47" t="str">
        <x:v>general-note</x:v>
      </x:c>
      <x:c r="M271" s="47" t="str">
        <x:v>Not specified</x:v>
      </x:c>
      <x:c r="N271" s="78" t="str">
        <x:v>#5B6BC0</x:v>
      </x:c>
      <x:c r="O271" s="55" t="str">
        <x:v>Medium</x:v>
      </x:c>
      <x:c r="P271" s="51" t="str">
        <x:v>Needs review</x:v>
      </x:c>
      <x:c r="Q271" s="47" t="str">
        <x:v>Uncategorized legacy item; safe patient-level fallback</x:v>
      </x:c>
      <x:c r="R271" s="47" t="str">
        <x:v>Phrase-based clinical draft; language review recommended</x:v>
      </x:c>
      <x:c r="S271" s="52" t="str">
        <x:v>Yes</x:v>
      </x:c>
      <x:c r="T271" s="46" t="str"/>
      <x:c r="U271" s="47" t="str"/>
      <x:c r="V271" s="46" t="str">
        <x:v>d379738b29163da</x:v>
      </x:c>
    </x:row>
    <x:row r="272">
      <x:c r="A272" s="46" t="str">
        <x:v>13</x:v>
      </x:c>
      <x:c r="B272" s="46" t="str">
        <x:v>86116</x:v>
      </x:c>
      <x:c r="C272" s="46" t="str">
        <x:v>Οδοντ. Χειρουργική 2</x:v>
      </x:c>
      <x:c r="D272" s="47" t="str">
        <x:v>Προσωρινή έμφραξη με IRM</x:v>
      </x:c>
      <x:c r="E272" s="47" t="str">
        <x:v>Temporary restoration with IRM</x:v>
      </x:c>
      <x:c r="F272" s="47" t="str">
        <x:v>Provisorische Füllung mit IRM</x:v>
      </x:c>
      <x:c r="G272" s="48" t="n">
        <x:v>0</x:v>
      </x:c>
      <x:c r="H272" s="46" t="str">
        <x:v>Yes</x:v>
      </x:c>
      <x:c r="I272" s="47" t="str">
        <x:v>Surface-based</x:v>
      </x:c>
      <x:c r="J272" s="47" t="str">
        <x:v>Tooth surfaces (optional)</x:v>
      </x:c>
      <x:c r="K272" s="47" t="str">
        <x:v>filling</x:v>
      </x:c>
      <x:c r="L272" s="47" t="str">
        <x:v>filling</x:v>
      </x:c>
      <x:c r="M272" s="47" t="str">
        <x:v>IRM</x:v>
      </x:c>
      <x:c r="N272" s="78" t="str">
        <x:v>#5B6BC0</x:v>
      </x:c>
      <x:c r="O272" s="50" t="str">
        <x:v>High</x:v>
      </x:c>
      <x:c r="P272" s="50" t="str">
        <x:v>High</x:v>
      </x:c>
      <x:c r="Q272" s="47" t="str">
        <x:v>Restoration/surface keyword</x:v>
      </x:c>
      <x:c r="R272" s="47" t="str">
        <x:v>Exact catalogue translation</x:v>
      </x:c>
      <x:c r="S272" s="56" t="str">
        <x:v>No</x:v>
      </x:c>
      <x:c r="T272" s="46" t="str"/>
      <x:c r="U272" s="47" t="str"/>
      <x:c r="V272" s="46" t="str">
        <x:v>d23c8f288e446bd</x:v>
      </x:c>
    </x:row>
    <x:row r="273">
      <x:c r="A273" s="46" t="str">
        <x:v>13</x:v>
      </x:c>
      <x:c r="B273" s="46" t="str">
        <x:v>86117</x:v>
      </x:c>
      <x:c r="C273" s="46" t="str">
        <x:v>Οδοντ. Χειρουργική 2</x:v>
      </x:c>
      <x:c r="D273" s="47" t="str">
        <x:v>Προσωρινή έμφραξη με ZnO - Eugenol</x:v>
      </x:c>
      <x:c r="E273" s="47" t="str">
        <x:v>Temporary restoration with zinc oxide–eugenol</x:v>
      </x:c>
      <x:c r="F273" s="47" t="str">
        <x:v>Provisorische Füllung mit Zinkoxid-Eugenol</x:v>
      </x:c>
      <x:c r="G273" s="48" t="n">
        <x:v>0</x:v>
      </x:c>
      <x:c r="H273" s="46" t="str">
        <x:v>Yes</x:v>
      </x:c>
      <x:c r="I273" s="47" t="str">
        <x:v>Surface-based</x:v>
      </x:c>
      <x:c r="J273" s="47" t="str">
        <x:v>Tooth surfaces (optional)</x:v>
      </x:c>
      <x:c r="K273" s="47" t="str">
        <x:v>filling</x:v>
      </x:c>
      <x:c r="L273" s="47" t="str">
        <x:v>filling</x:v>
      </x:c>
      <x:c r="M273" s="47" t="str">
        <x:v>Zinc oxide-eugenol</x:v>
      </x:c>
      <x:c r="N273" s="78" t="str">
        <x:v>#5B6BC0</x:v>
      </x:c>
      <x:c r="O273" s="50" t="str">
        <x:v>High</x:v>
      </x:c>
      <x:c r="P273" s="50" t="str">
        <x:v>High</x:v>
      </x:c>
      <x:c r="Q273" s="47" t="str">
        <x:v>Restoration/surface keyword</x:v>
      </x:c>
      <x:c r="R273" s="47" t="str">
        <x:v>Exact catalogue translation</x:v>
      </x:c>
      <x:c r="S273" s="56" t="str">
        <x:v>No</x:v>
      </x:c>
      <x:c r="T273" s="46" t="str"/>
      <x:c r="U273" s="47" t="str"/>
      <x:c r="V273" s="46" t="str">
        <x:v>d752d30c6d22bf1</x:v>
      </x:c>
    </x:row>
    <x:row r="274">
      <x:c r="A274" s="46" t="str">
        <x:v>14</x:v>
      </x:c>
      <x:c r="B274" s="46" t="str">
        <x:v>86064</x:v>
      </x:c>
      <x:c r="C274" s="46" t="str">
        <x:v>Παιδοδοντία</x:v>
      </x:c>
      <x:c r="D274" s="47" t="str">
        <x:v>Διάβρωση οδόντος</x:v>
      </x:c>
      <x:c r="E274" s="47" t="str">
        <x:v>Tooth erosion</x:v>
      </x:c>
      <x:c r="F274" s="47" t="str">
        <x:v>Zahnerosion</x:v>
      </x:c>
      <x:c r="G274" s="48" t="n">
        <x:v>0</x:v>
      </x:c>
      <x:c r="H274" s="46" t="str">
        <x:v>Unknown</x:v>
      </x:c>
      <x:c r="I274" s="47" t="str">
        <x:v>Patient-level / history only</x:v>
      </x:c>
      <x:c r="J274" s="47" t="str">
        <x:v>Patient / tooth as documented</x:v>
      </x:c>
      <x:c r="K274" s="47" t="str">
        <x:v>none</x:v>
      </x:c>
      <x:c r="L274" s="47" t="str">
        <x:v>pediatric-prevention</x:v>
      </x:c>
      <x:c r="M274" s="47" t="str">
        <x:v>Not specified</x:v>
      </x:c>
      <x:c r="N274" s="80" t="str">
        <x:v>#008F7A</x:v>
      </x:c>
      <x:c r="O274" s="55" t="str">
        <x:v>Medium</x:v>
      </x:c>
      <x:c r="P274" s="50" t="str">
        <x:v>High</x:v>
      </x:c>
      <x:c r="Q274" s="47" t="str">
        <x:v>Pediatric procedure keyword/group</x:v>
      </x:c>
      <x:c r="R274" s="47" t="str">
        <x:v>Phrase-based clinical draft; language review recommended</x:v>
      </x:c>
      <x:c r="S274" s="56" t="str">
        <x:v>No</x:v>
      </x:c>
      <x:c r="T274" s="46" t="str"/>
      <x:c r="U274" s="47" t="str"/>
      <x:c r="V274" s="46" t="str">
        <x:v>d1d37730655e5f4</x:v>
      </x:c>
    </x:row>
    <x:row r="275">
      <x:c r="A275" s="46" t="str">
        <x:v>14</x:v>
      </x:c>
      <x:c r="B275" s="46" t="str">
        <x:v>86065</x:v>
      </x:c>
      <x:c r="C275" s="46" t="str">
        <x:v>Παιδοδοντία</x:v>
      </x:c>
      <x:c r="D275" s="47" t="str">
        <x:v>Έμφραξη με υαλοϊονομερή</x:v>
      </x:c>
      <x:c r="E275" s="47" t="str">
        <x:v>Glass-ionomer restoration</x:v>
      </x:c>
      <x:c r="F275" s="47" t="str">
        <x:v>Glasionomerfüllung</x:v>
      </x:c>
      <x:c r="G275" s="48" t="n">
        <x:v>0</x:v>
      </x:c>
      <x:c r="H275" s="46" t="str">
        <x:v>Unknown</x:v>
      </x:c>
      <x:c r="I275" s="47" t="str">
        <x:v>Surface-based</x:v>
      </x:c>
      <x:c r="J275" s="47" t="str">
        <x:v>Tooth surfaces (optional)</x:v>
      </x:c>
      <x:c r="K275" s="47" t="str">
        <x:v>filling</x:v>
      </x:c>
      <x:c r="L275" s="47" t="str">
        <x:v>filling</x:v>
      </x:c>
      <x:c r="M275" s="47" t="str">
        <x:v>Glass ionomer</x:v>
      </x:c>
      <x:c r="N275" s="80" t="str">
        <x:v>#008F7A</x:v>
      </x:c>
      <x:c r="O275" s="55" t="str">
        <x:v>Medium</x:v>
      </x:c>
      <x:c r="P275" s="50" t="str">
        <x:v>High</x:v>
      </x:c>
      <x:c r="Q275" s="47" t="str">
        <x:v>Restoration/surface keyword</x:v>
      </x:c>
      <x:c r="R275" s="47" t="str">
        <x:v>Phrase-based clinical draft; language review recommended</x:v>
      </x:c>
      <x:c r="S275" s="56" t="str">
        <x:v>No</x:v>
      </x:c>
      <x:c r="T275" s="46" t="str"/>
      <x:c r="U275" s="47" t="str"/>
      <x:c r="V275" s="46" t="str">
        <x:v>d5fa59a5eeba7a0</x:v>
      </x:c>
    </x:row>
    <x:row r="276">
      <x:c r="A276" s="46" t="str">
        <x:v>14</x:v>
      </x:c>
      <x:c r="B276" s="46" t="str">
        <x:v>86070</x:v>
      </x:c>
      <x:c r="C276" s="46" t="str">
        <x:v>Παιδοδοντία</x:v>
      </x:c>
      <x:c r="D276" s="47" t="str">
        <x:v>Φθορίωση με νάρθηκα</x:v>
      </x:c>
      <x:c r="E276" s="47" t="str">
        <x:v>Fluoride treatment with tray</x:v>
      </x:c>
      <x:c r="F276" s="47" t="str">
        <x:v>Fluoridierung mit Schiene</x:v>
      </x:c>
      <x:c r="G276" s="48" t="n">
        <x:v>0</x:v>
      </x:c>
      <x:c r="H276" s="46" t="str">
        <x:v>Unknown</x:v>
      </x:c>
      <x:c r="I276" s="47" t="str">
        <x:v>Patient-level / history only</x:v>
      </x:c>
      <x:c r="J276" s="47" t="str">
        <x:v>Patient / tooth as documented</x:v>
      </x:c>
      <x:c r="K276" s="47" t="str">
        <x:v>none</x:v>
      </x:c>
      <x:c r="L276" s="47" t="str">
        <x:v>pediatric-prevention</x:v>
      </x:c>
      <x:c r="M276" s="47" t="str">
        <x:v>Not specified</x:v>
      </x:c>
      <x:c r="N276" s="80" t="str">
        <x:v>#008F7A</x:v>
      </x:c>
      <x:c r="O276" s="55" t="str">
        <x:v>Medium</x:v>
      </x:c>
      <x:c r="P276" s="50" t="str">
        <x:v>High</x:v>
      </x:c>
      <x:c r="Q276" s="47" t="str">
        <x:v>Pediatric procedure keyword/group</x:v>
      </x:c>
      <x:c r="R276" s="47" t="str">
        <x:v>Phrase-based clinical draft; language review recommended</x:v>
      </x:c>
      <x:c r="S276" s="56" t="str">
        <x:v>No</x:v>
      </x:c>
      <x:c r="T276" s="46" t="str"/>
      <x:c r="U276" s="47" t="str"/>
      <x:c r="V276" s="46" t="str">
        <x:v>d9a406efc9b258e</x:v>
      </x:c>
    </x:row>
    <x:row r="277">
      <x:c r="A277" s="46" t="str">
        <x:v>14</x:v>
      </x:c>
      <x:c r="B277" s="46" t="str">
        <x:v>86066</x:v>
      </x:c>
      <x:c r="C277" s="46" t="str">
        <x:v>Παιδοδοντία</x:v>
      </x:c>
      <x:c r="D277" s="47" t="str">
        <x:v>Χρωματισμός πλάκας</x:v>
      </x:c>
      <x:c r="E277" s="47" t="str">
        <x:v>Plaque disclosing</x:v>
      </x:c>
      <x:c r="F277" s="47" t="str">
        <x:v>Plaqueanfärbung</x:v>
      </x:c>
      <x:c r="G277" s="48" t="n">
        <x:v>0</x:v>
      </x:c>
      <x:c r="H277" s="46" t="str">
        <x:v>Unknown</x:v>
      </x:c>
      <x:c r="I277" s="47" t="str">
        <x:v>Patient-level / history only</x:v>
      </x:c>
      <x:c r="J277" s="47" t="str">
        <x:v>Patient / tooth as documented</x:v>
      </x:c>
      <x:c r="K277" s="47" t="str">
        <x:v>none</x:v>
      </x:c>
      <x:c r="L277" s="47" t="str">
        <x:v>pediatric-prevention</x:v>
      </x:c>
      <x:c r="M277" s="47" t="str">
        <x:v>Not specified</x:v>
      </x:c>
      <x:c r="N277" s="80" t="str">
        <x:v>#008F7A</x:v>
      </x:c>
      <x:c r="O277" s="55" t="str">
        <x:v>Medium</x:v>
      </x:c>
      <x:c r="P277" s="50" t="str">
        <x:v>High</x:v>
      </x:c>
      <x:c r="Q277" s="47" t="str">
        <x:v>Pediatric procedure keyword/group</x:v>
      </x:c>
      <x:c r="R277" s="47" t="str">
        <x:v>Phrase-based clinical draft; language review recommended</x:v>
      </x:c>
      <x:c r="S277" s="56" t="str">
        <x:v>No</x:v>
      </x:c>
      <x:c r="T277" s="46" t="str"/>
      <x:c r="U277" s="47" t="str"/>
      <x:c r="V277" s="46" t="str">
        <x:v>d50ea407e5dd9b0</x:v>
      </x:c>
    </x:row>
    <x:row r="278">
      <x:c r="A278" s="46" t="str">
        <x:v>15</x:v>
      </x:c>
      <x:c r="B278" s="46" t="str">
        <x:v>86127</x:v>
      </x:c>
      <x:c r="C278" s="46" t="str">
        <x:v>Γενικά</x:v>
      </x:c>
      <x:c r="D278" s="47" t="str">
        <x:v>Δώθηκε συνταγή φαρμακευτικής αγωγής</x:v>
      </x:c>
      <x:c r="E278" s="47" t="str">
        <x:v>Medication prescription issued</x:v>
      </x:c>
      <x:c r="F278" s="47" t="str">
        <x:v>Medikamentenverordnung ausgestellt</x:v>
      </x:c>
      <x:c r="G278" s="48" t="n">
        <x:v>0</x:v>
      </x:c>
      <x:c r="H278" s="46" t="str">
        <x:v>Unknown</x:v>
      </x:c>
      <x:c r="I278" s="47" t="str">
        <x:v>Patient-level / history only</x:v>
      </x:c>
      <x:c r="J278" s="47" t="str">
        <x:v>Patient</x:v>
      </x:c>
      <x:c r="K278" s="47" t="str">
        <x:v>none</x:v>
      </x:c>
      <x:c r="L278" s="47" t="str">
        <x:v>prescription</x:v>
      </x:c>
      <x:c r="M278" s="47" t="str">
        <x:v>Not specified</x:v>
      </x:c>
      <x:c r="N278" s="82" t="str">
        <x:v>#C05C84</x:v>
      </x:c>
      <x:c r="O278" s="50" t="str">
        <x:v>High</x:v>
      </x:c>
      <x:c r="P278" s="50" t="str">
        <x:v>High</x:v>
      </x:c>
      <x:c r="Q278" s="47" t="str">
        <x:v>General-work group</x:v>
      </x:c>
      <x:c r="R278" s="47" t="str">
        <x:v>Exact catalogue translation</x:v>
      </x:c>
      <x:c r="S278" s="56" t="str">
        <x:v>No</x:v>
      </x:c>
      <x:c r="T278" s="46" t="str"/>
      <x:c r="U278" s="47" t="str"/>
      <x:c r="V278" s="46" t="str">
        <x:v>d97067592788640</x:v>
      </x:c>
    </x:row>
    <x:row r="279">
      <x:c r="A279" s="46" t="str">
        <x:v>15</x:v>
      </x:c>
      <x:c r="B279" s="46" t="str">
        <x:v>86128</x:v>
      </x:c>
      <x:c r="C279" s="46" t="str">
        <x:v>Γενικά</x:v>
      </x:c>
      <x:c r="D279" s="47" t="str">
        <x:v>Ηλεκτρονική συνταγή</x:v>
      </x:c>
      <x:c r="E279" s="47" t="str">
        <x:v>Electronic prescription</x:v>
      </x:c>
      <x:c r="F279" s="47" t="str">
        <x:v>Elektronisches Rezept</x:v>
      </x:c>
      <x:c r="G279" s="48" t="n">
        <x:v>0</x:v>
      </x:c>
      <x:c r="H279" s="46" t="str">
        <x:v>Unknown</x:v>
      </x:c>
      <x:c r="I279" s="47" t="str">
        <x:v>Patient-level / history only</x:v>
      </x:c>
      <x:c r="J279" s="47" t="str">
        <x:v>Patient</x:v>
      </x:c>
      <x:c r="K279" s="47" t="str">
        <x:v>none</x:v>
      </x:c>
      <x:c r="L279" s="47" t="str">
        <x:v>prescription</x:v>
      </x:c>
      <x:c r="M279" s="47" t="str">
        <x:v>Not specified</x:v>
      </x:c>
      <x:c r="N279" s="82" t="str">
        <x:v>#C05C84</x:v>
      </x:c>
      <x:c r="O279" s="50" t="str">
        <x:v>High</x:v>
      </x:c>
      <x:c r="P279" s="50" t="str">
        <x:v>High</x:v>
      </x:c>
      <x:c r="Q279" s="47" t="str">
        <x:v>General-work group</x:v>
      </x:c>
      <x:c r="R279" s="47" t="str">
        <x:v>Exact catalogue translation</x:v>
      </x:c>
      <x:c r="S279" s="56" t="str">
        <x:v>No</x:v>
      </x:c>
      <x:c r="T279" s="46" t="str"/>
      <x:c r="U279" s="47" t="str"/>
      <x:c r="V279" s="46" t="str">
        <x:v>da2340862968e09</x:v>
      </x:c>
    </x:row>
    <x:row r="280">
      <x:c r="A280" s="46" t="str">
        <x:v>15</x:v>
      </x:c>
      <x:c r="B280" s="46" t="str">
        <x:v>86129</x:v>
      </x:c>
      <x:c r="C280" s="46" t="str">
        <x:v>Γενικά</x:v>
      </x:c>
      <x:c r="D280" s="47" t="str">
        <x:v>Πανοραμική ακτινογραφία</x:v>
      </x:c>
      <x:c r="E280" s="47" t="str">
        <x:v>Panoramic radiograph</x:v>
      </x:c>
      <x:c r="F280" s="47" t="str">
        <x:v>Panoramaschichtaufnahme</x:v>
      </x:c>
      <x:c r="G280" s="48" t="n">
        <x:v>0</x:v>
      </x:c>
      <x:c r="H280" s="46" t="str">
        <x:v>Unknown</x:v>
      </x:c>
      <x:c r="I280" s="47" t="str">
        <x:v>Patient-level / history only</x:v>
      </x:c>
      <x:c r="J280" s="47" t="str">
        <x:v>Patient</x:v>
      </x:c>
      <x:c r="K280" s="47" t="str">
        <x:v>none</x:v>
      </x:c>
      <x:c r="L280" s="47" t="str">
        <x:v>radiograph</x:v>
      </x:c>
      <x:c r="M280" s="47" t="str">
        <x:v>Not specified</x:v>
      </x:c>
      <x:c r="N280" s="82" t="str">
        <x:v>#C05C84</x:v>
      </x:c>
      <x:c r="O280" s="55" t="str">
        <x:v>Medium</x:v>
      </x:c>
      <x:c r="P280" s="50" t="str">
        <x:v>High</x:v>
      </x:c>
      <x:c r="Q280" s="47" t="str">
        <x:v>General-work group</x:v>
      </x:c>
      <x:c r="R280" s="47" t="str">
        <x:v>Phrase-based clinical draft; language review recommended</x:v>
      </x:c>
      <x:c r="S280" s="56" t="str">
        <x:v>No</x:v>
      </x:c>
      <x:c r="T280" s="46" t="str"/>
      <x:c r="U280" s="47" t="str"/>
      <x:c r="V280" s="46" t="str">
        <x:v>d93ed0d18b79339</x:v>
      </x:c>
    </x:row>
    <x:row r="281">
      <x:c r="A281" s="46" t="str">
        <x:v>15</x:v>
      </x:c>
      <x:c r="B281" s="46" t="str">
        <x:v>86140</x:v>
      </x:c>
      <x:c r="C281" s="46" t="str">
        <x:v>Γενικά</x:v>
      </x:c>
      <x:c r="D281" s="47" t="str">
        <x:v>Παραπομπή</x:v>
      </x:c>
      <x:c r="E281" s="47" t="str">
        <x:v>Referral</x:v>
      </x:c>
      <x:c r="F281" s="47" t="str">
        <x:v>Überweisung</x:v>
      </x:c>
      <x:c r="G281" s="48" t="n">
        <x:v>0</x:v>
      </x:c>
      <x:c r="H281" s="46" t="str">
        <x:v>Unknown</x:v>
      </x:c>
      <x:c r="I281" s="47" t="str">
        <x:v>Patient-level / history only</x:v>
      </x:c>
      <x:c r="J281" s="47" t="str">
        <x:v>Patient</x:v>
      </x:c>
      <x:c r="K281" s="47" t="str">
        <x:v>none</x:v>
      </x:c>
      <x:c r="L281" s="47" t="str">
        <x:v>referral</x:v>
      </x:c>
      <x:c r="M281" s="47" t="str">
        <x:v>Not specified</x:v>
      </x:c>
      <x:c r="N281" s="82" t="str">
        <x:v>#C05C84</x:v>
      </x:c>
      <x:c r="O281" s="50" t="str">
        <x:v>High</x:v>
      </x:c>
      <x:c r="P281" s="50" t="str">
        <x:v>High</x:v>
      </x:c>
      <x:c r="Q281" s="47" t="str">
        <x:v>General-work group</x:v>
      </x:c>
      <x:c r="R281" s="47" t="str">
        <x:v>Exact catalogue translation</x:v>
      </x:c>
      <x:c r="S281" s="56" t="str">
        <x:v>No</x:v>
      </x:c>
      <x:c r="T281" s="46" t="str"/>
      <x:c r="U281" s="47" t="str"/>
      <x:c r="V281" s="46" t="str">
        <x:v>d6470b6962bfe06</x:v>
      </x:c>
    </x:row>
    <x:row r="282">
      <x:c r="A282" s="46" t="str">
        <x:v>15</x:v>
      </x:c>
      <x:c r="B282" s="46" t="str">
        <x:v>86142</x:v>
      </x:c>
      <x:c r="C282" s="46" t="str">
        <x:v>Γενικά</x:v>
      </x:c>
      <x:c r="D282" s="47" t="str">
        <x:v>Χημειοπροφύλαξη / Antibiotische Abschirmung</x:v>
      </x:c>
      <x:c r="E282" s="47" t="str">
        <x:v>Antibiotic prophylaxis</x:v>
      </x:c>
      <x:c r="F282" s="47" t="str">
        <x:v>Antibiotische Abschirmung</x:v>
      </x:c>
      <x:c r="G282" s="48" t="n">
        <x:v>0</x:v>
      </x:c>
      <x:c r="H282" s="46" t="str">
        <x:v>Unknown</x:v>
      </x:c>
      <x:c r="I282" s="47" t="str">
        <x:v>Patient-level / history only</x:v>
      </x:c>
      <x:c r="J282" s="47" t="str">
        <x:v>Patient</x:v>
      </x:c>
      <x:c r="K282" s="47" t="str">
        <x:v>none</x:v>
      </x:c>
      <x:c r="L282" s="47" t="str">
        <x:v>general-note</x:v>
      </x:c>
      <x:c r="M282" s="47" t="str">
        <x:v>IRM</x:v>
      </x:c>
      <x:c r="N282" s="82" t="str">
        <x:v>#C05C84</x:v>
      </x:c>
      <x:c r="O282" s="50" t="str">
        <x:v>High</x:v>
      </x:c>
      <x:c r="P282" s="50" t="str">
        <x:v>High</x:v>
      </x:c>
      <x:c r="Q282" s="47" t="str">
        <x:v>General-work group</x:v>
      </x:c>
      <x:c r="R282" s="47" t="str">
        <x:v>Exact catalogue translation</x:v>
      </x:c>
      <x:c r="S282" s="56" t="str">
        <x:v>No</x:v>
      </x:c>
      <x:c r="T282" s="46" t="str"/>
      <x:c r="U282" s="47" t="str"/>
      <x:c r="V282" s="46" t="str">
        <x:v>da500f80ef1af57</x:v>
      </x:c>
    </x:row>
    <x:row r="283">
      <x:c r="A283" s="46" t="str">
        <x:v>15</x:v>
      </x:c>
      <x:c r="B283" s="46" t="str">
        <x:v>86223</x:v>
      </x:c>
      <x:c r="C283" s="46" t="str">
        <x:v>Γενικά</x:v>
      </x:c>
      <x:c r="D283" s="47" t="str">
        <x:v>Appointment / No entry</x:v>
      </x:c>
      <x:c r="E283" s="47" t="str">
        <x:v>Appointment / no entry</x:v>
      </x:c>
      <x:c r="F283" s="47" t="str">
        <x:v>Termin / kein Eintrag</x:v>
      </x:c>
      <x:c r="G283" s="48" t="n">
        <x:v>0</x:v>
      </x:c>
      <x:c r="H283" s="46" t="str">
        <x:v>Unknown</x:v>
      </x:c>
      <x:c r="I283" s="47" t="str">
        <x:v>Patient-level / history only</x:v>
      </x:c>
      <x:c r="J283" s="47" t="str">
        <x:v>Patient</x:v>
      </x:c>
      <x:c r="K283" s="47" t="str">
        <x:v>none</x:v>
      </x:c>
      <x:c r="L283" s="47" t="str">
        <x:v>general-note</x:v>
      </x:c>
      <x:c r="M283" s="47" t="str">
        <x:v>Not specified</x:v>
      </x:c>
      <x:c r="N283" s="82" t="str">
        <x:v>#C05C84</x:v>
      </x:c>
      <x:c r="O283" s="50" t="str">
        <x:v>High</x:v>
      </x:c>
      <x:c r="P283" s="50" t="str">
        <x:v>High</x:v>
      </x:c>
      <x:c r="Q283" s="47" t="str">
        <x:v>General-work group</x:v>
      </x:c>
      <x:c r="R283" s="47" t="str">
        <x:v>Exact catalogue translation</x:v>
      </x:c>
      <x:c r="S283" s="56" t="str">
        <x:v>No</x:v>
      </x:c>
      <x:c r="T283" s="46" t="str"/>
      <x:c r="U283" s="47" t="str"/>
      <x:c r="V283" s="46" t="str">
        <x:v>df041e07cef1040</x:v>
      </x:c>
    </x:row>
    <x:row r="284">
      <x:c r="A284" s="46" t="str">
        <x:v>15</x:v>
      </x:c>
      <x:c r="B284" s="46" t="str">
        <x:v>86200</x:v>
      </x:c>
      <x:c r="C284" s="46" t="str">
        <x:v>Γενικά</x:v>
      </x:c>
      <x:c r="D284" s="47" t="str">
        <x:v>CBCT</x:v>
      </x:c>
      <x:c r="E284" s="47" t="str">
        <x:v>CBCT</x:v>
      </x:c>
      <x:c r="F284" s="47" t="str">
        <x:v>DVT / CBCT</x:v>
      </x:c>
      <x:c r="G284" s="48" t="n">
        <x:v>0</x:v>
      </x:c>
      <x:c r="H284" s="46" t="str">
        <x:v>Unknown</x:v>
      </x:c>
      <x:c r="I284" s="47" t="str">
        <x:v>Patient-level / history only</x:v>
      </x:c>
      <x:c r="J284" s="47" t="str">
        <x:v>Patient</x:v>
      </x:c>
      <x:c r="K284" s="47" t="str">
        <x:v>none</x:v>
      </x:c>
      <x:c r="L284" s="47" t="str">
        <x:v>radiograph</x:v>
      </x:c>
      <x:c r="M284" s="47" t="str">
        <x:v>Not specified</x:v>
      </x:c>
      <x:c r="N284" s="82" t="str">
        <x:v>#C05C84</x:v>
      </x:c>
      <x:c r="O284" s="50" t="str">
        <x:v>High</x:v>
      </x:c>
      <x:c r="P284" s="50" t="str">
        <x:v>High</x:v>
      </x:c>
      <x:c r="Q284" s="47" t="str">
        <x:v>General-work group</x:v>
      </x:c>
      <x:c r="R284" s="47" t="str">
        <x:v>Exact catalogue translation</x:v>
      </x:c>
      <x:c r="S284" s="56" t="str">
        <x:v>No</x:v>
      </x:c>
      <x:c r="T284" s="46" t="str"/>
      <x:c r="U284" s="47" t="str"/>
      <x:c r="V284" s="46" t="str">
        <x:v>dc58ab36eb297ed</x:v>
      </x:c>
    </x:row>
  </x:sheetData>
  <x:mergeCells>
    <x:mergeCell ref="A1:V2"/>
    <x:mergeCell ref="A3:V3"/>
  </x:mergeCells>
  <x:dataValidations count="1">
    <x:dataValidation type="list" sqref="T6:T284">
      <x:formula1>"Approve,Change,Skip,Needs discussion"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edd9ac9eea44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3" hidden="0" customWidth="1"/>
    <x:col min="4" max="4" width="34" hidden="0" customWidth="1"/>
    <x:col min="5" max="5" width="36" hidden="0" customWidth="1"/>
    <x:col min="6" max="6" width="36" hidden="0" customWidth="1"/>
    <x:col min="7" max="7" width="22" hidden="0" customWidth="1"/>
    <x:col min="8" max="8" width="26" hidden="0" customWidth="1"/>
    <x:col min="9" max="9" width="18" hidden="0" customWidth="1"/>
    <x:col min="10" max="10" width="22" hidden="0" customWidth="1"/>
    <x:col min="11" max="11" width="14" hidden="0" customWidth="1"/>
    <x:col min="12" max="12" width="18" hidden="0" customWidth="1"/>
    <x:col min="13" max="13" width="18" hidden="0" customWidth="1"/>
    <x:col min="14" max="14" width="48" hidden="0" customWidth="1"/>
  </x:cols>
  <x:sheetData>
    <x:row r="1" ht="25" customHeight="1">
      <x:c r="A1" s="4" t="str">
        <x:v>Review Queue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13" t="str">
        <x:v>Static snapshot of rows with non-high mapping confidence, untranslated Greek fragments, legacy abbreviations, or legacy categories. Final decisions should also be recorded in Catalogue Audit.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5"/>
    </x:row>
    <x:row r="5" ht="36" customHeight="1">
      <x:c r="A5" s="20" t="str">
        <x:v>Group ID</x:v>
      </x:c>
      <x:c r="B5" s="20" t="str">
        <x:v>Source code</x:v>
      </x:c>
      <x:c r="C5" s="20" t="str">
        <x:v>Group — Greek</x:v>
      </x:c>
      <x:c r="D5" s="20" t="str">
        <x:v>Procedure — Greek</x:v>
      </x:c>
      <x:c r="E5" s="20" t="str">
        <x:v>English draft</x:v>
      </x:c>
      <x:c r="F5" s="20" t="str">
        <x:v>German draft</x:v>
      </x:c>
      <x:c r="G5" s="20" t="str">
        <x:v>Suggested workflow</x:v>
      </x:c>
      <x:c r="H5" s="20" t="str">
        <x:v>Target</x:v>
      </x:c>
      <x:c r="I5" s="20" t="str">
        <x:v>Current overlay</x:v>
      </x:c>
      <x:c r="J5" s="20" t="str">
        <x:v>Future icon</x:v>
      </x:c>
      <x:c r="K5" s="20" t="str">
        <x:v>Colour</x:v>
      </x:c>
      <x:c r="L5" s="20" t="str">
        <x:v>Translation confidence</x:v>
      </x:c>
      <x:c r="M5" s="20" t="str">
        <x:v>Mapping confidence</x:v>
      </x:c>
      <x:c r="N5" s="20" t="str">
        <x:v>Why review</x:v>
      </x:c>
    </x:row>
    <x:row r="6">
      <x:c r="A6" t="str">
        <x:v>0</x:v>
      </x:c>
      <x:c r="B6" t="str">
        <x:v>4950</x:v>
      </x:c>
      <x:c r="C6" t="str">
        <x:v>Uncategorized legacy review</x:v>
      </x:c>
      <x:c r="D6" s="43" t="str">
        <x:v>ΕΝΔΙΑΜΕΣΟ ΜΕΤΑΛΛΟΠΟΡΣΕΛΑΝΗΣ</x:v>
      </x:c>
      <x:c r="E6" s="43" t="str">
        <x:v>Metal-ceramic pontic</x:v>
      </x:c>
      <x:c r="F6" s="43" t="str">
        <x:v>Metallkeramisches Brückenglied</x:v>
      </x:c>
      <x:c r="G6" s="43" t="str">
        <x:v>Bridge</x:v>
      </x:c>
      <x:c r="H6" s="43" t="str">
        <x:v>Multi-tooth bridge units</x:v>
      </x:c>
      <x:c r="I6" s="43" t="str">
        <x:v>bridge</x:v>
      </x:c>
      <x:c r="J6" s="43" t="str">
        <x:v>bridge</x:v>
      </x:c>
      <x:c r="K6" s="84" t="str">
        <x:v>#777777</x:v>
      </x:c>
      <x:c r="L6" s="43" t="str">
        <x:v>High</x:v>
      </x:c>
      <x:c r="M6" s="43" t="str">
        <x:v>Needs review</x:v>
      </x:c>
      <x:c r="N6" s="43" t="str">
        <x:v>Bridge/pontic keyword; legacy source category requires confirmation; Exact catalogue translation</x:v>
      </x:c>
    </x:row>
    <x:row r="7">
      <x:c r="A7" t="str">
        <x:v>0</x:v>
      </x:c>
      <x:c r="B7" t="str">
        <x:v>4955</x:v>
      </x:c>
      <x:c r="C7" t="str">
        <x:v>Uncategorized legacy review</x:v>
      </x:c>
      <x:c r="D7" s="43" t="str">
        <x:v>BALL ATCHAMENT</x:v>
      </x:c>
      <x:c r="E7" s="43" t="str">
        <x:v>Ball attachment</x:v>
      </x:c>
      <x:c r="F7" s="43" t="str">
        <x:v>Kugelattachment</x:v>
      </x:c>
      <x:c r="G7" s="43" t="str">
        <x:v>Patient-level / history only</x:v>
      </x:c>
      <x:c r="H7" s="43" t="str">
        <x:v>Patient</x:v>
      </x:c>
      <x:c r="I7" s="43" t="str">
        <x:v>none</x:v>
      </x:c>
      <x:c r="J7" s="43" t="str">
        <x:v>general-note</x:v>
      </x:c>
      <x:c r="K7" s="84" t="str">
        <x:v>#777777</x:v>
      </x:c>
      <x:c r="L7" s="43" t="str">
        <x:v>High</x:v>
      </x:c>
      <x:c r="M7" s="43" t="str">
        <x:v>Needs review</x:v>
      </x:c>
      <x:c r="N7" s="43" t="str">
        <x:v>Uncategorized legacy item; safe patient-level fallback; legacy source category requires confirmation; Exact catalogue translation</x:v>
      </x:c>
    </x:row>
    <x:row r="8">
      <x:c r="A8" t="str">
        <x:v>0</x:v>
      </x:c>
      <x:c r="B8" t="str">
        <x:v>4956</x:v>
      </x:c>
      <x:c r="C8" t="str">
        <x:v>Uncategorized legacy review</x:v>
      </x:c>
      <x:c r="D8" s="43" t="str">
        <x:v>INLAY</x:v>
      </x:c>
      <x:c r="E8" s="43" t="str">
        <x:v>Inlay</x:v>
      </x:c>
      <x:c r="F8" s="43" t="str">
        <x:v>Inlay</x:v>
      </x:c>
      <x:c r="G8" s="43" t="str">
        <x:v>Surface-based</x:v>
      </x:c>
      <x:c r="H8" s="43" t="str">
        <x:v>Tooth surfaces (optional)</x:v>
      </x:c>
      <x:c r="I8" s="43" t="str">
        <x:v>filling</x:v>
      </x:c>
      <x:c r="J8" s="43" t="str">
        <x:v>inlay-onlay</x:v>
      </x:c>
      <x:c r="K8" s="84" t="str">
        <x:v>#777777</x:v>
      </x:c>
      <x:c r="L8" s="43" t="str">
        <x:v>High</x:v>
      </x:c>
      <x:c r="M8" s="43" t="str">
        <x:v>Needs review</x:v>
      </x:c>
      <x:c r="N8" s="43" t="str">
        <x:v>Restoration/surface keyword; legacy source category requires confirmation; Exact catalogue translation</x:v>
      </x:c>
    </x:row>
    <x:row r="9">
      <x:c r="A9" t="str">
        <x:v>1</x:v>
      </x:c>
      <x:c r="B9" t="str">
        <x:v>86149</x:v>
      </x:c>
      <x:c r="C9" t="str">
        <x:v>Οδον. Χειρουργική 1</x:v>
      </x:c>
      <x:c r="D9" s="43" t="str">
        <x:v>Απευαισθητοποίηση με Pro-Relief</x:v>
      </x:c>
      <x:c r="E9" s="43" t="str">
        <x:v>Desensitization with Pro-Relief</x:v>
      </x:c>
      <x:c r="F9" s="43" t="str">
        <x:v>Desensibilisierung mit Pro-Relief</x:v>
      </x:c>
      <x:c r="G9" s="43" t="str">
        <x:v>Patient-level / history only</x:v>
      </x:c>
      <x:c r="H9" s="43" t="str">
        <x:v>Patient</x:v>
      </x:c>
      <x:c r="I9" s="43" t="str">
        <x:v>none</x:v>
      </x:c>
      <x:c r="J9" s="43" t="str">
        <x:v>general-note</x:v>
      </x:c>
      <x:c r="K9" s="86" t="str">
        <x:v>#0F8B8D</x:v>
      </x:c>
      <x:c r="L9" s="43" t="str">
        <x:v>High</x:v>
      </x:c>
      <x:c r="M9" s="43" t="str">
        <x:v>Needs review</x:v>
      </x:c>
      <x:c r="N9" s="43" t="str">
        <x:v>Uncategorized legacy item; safe patient-level fallback; Exact catalogue translation</x:v>
      </x:c>
    </x:row>
    <x:row r="10">
      <x:c r="A10" t="str">
        <x:v>1</x:v>
      </x:c>
      <x:c r="B10" t="str">
        <x:v>86150</x:v>
      </x:c>
      <x:c r="C10" t="str">
        <x:v>Οδον. Χειρουργική 1</x:v>
      </x:c>
      <x:c r="D10" s="43" t="str">
        <x:v>Απευαισθητοποίηση με Teethmate Desensitizer</x:v>
      </x:c>
      <x:c r="E10" s="43" t="str">
        <x:v>Desensitization with Teethmate Desensitizer</x:v>
      </x:c>
      <x:c r="F10" s="43" t="str">
        <x:v>Desensibilisierung mit Teethmate Desensitizer</x:v>
      </x:c>
      <x:c r="G10" s="43" t="str">
        <x:v>Patient-level / history only</x:v>
      </x:c>
      <x:c r="H10" s="43" t="str">
        <x:v>Patient</x:v>
      </x:c>
      <x:c r="I10" s="43" t="str">
        <x:v>none</x:v>
      </x:c>
      <x:c r="J10" s="43" t="str">
        <x:v>general-note</x:v>
      </x:c>
      <x:c r="K10" s="86" t="str">
        <x:v>#0F8B8D</x:v>
      </x:c>
      <x:c r="L10" s="43" t="str">
        <x:v>High</x:v>
      </x:c>
      <x:c r="M10" s="43" t="str">
        <x:v>Needs review</x:v>
      </x:c>
      <x:c r="N10" s="43" t="str">
        <x:v>Uncategorized legacy item; safe patient-level fallback; Exact catalogue translation</x:v>
      </x:c>
    </x:row>
    <x:row r="11">
      <x:c r="A11" t="str">
        <x:v>1</x:v>
      </x:c>
      <x:c r="B11" t="str">
        <x:v>4875</x:v>
      </x:c>
      <x:c r="C11" t="str">
        <x:v>Οδον. Χειρουργική 1</x:v>
      </x:c>
      <x:c r="D11" s="43" t="str">
        <x:v>ΑΥΧΕΝΙΚΗ ΕΜΦΡ.ΥΑΛΟΙΟΝΟΜΕΡΗ</x:v>
      </x:c>
      <x:c r="E11" s="43" t="str">
        <x:v>Cervical glass-ionomer restoration</x:v>
      </x:c>
      <x:c r="F11" s="43" t="str">
        <x:v>Zervikale Glasionomerfüllung</x:v>
      </x:c>
      <x:c r="G11" s="43" t="str">
        <x:v>Patient-level / history only</x:v>
      </x:c>
      <x:c r="H11" s="43" t="str">
        <x:v>Patient</x:v>
      </x:c>
      <x:c r="I11" s="43" t="str">
        <x:v>none</x:v>
      </x:c>
      <x:c r="J11" s="43" t="str">
        <x:v>general-note</x:v>
      </x:c>
      <x:c r="K11" s="86" t="str">
        <x:v>#0F8B8D</x:v>
      </x:c>
      <x:c r="L11" s="43" t="str">
        <x:v>High</x:v>
      </x:c>
      <x:c r="M11" s="43" t="str">
        <x:v>Needs review</x:v>
      </x:c>
      <x:c r="N11" s="43" t="str">
        <x:v>Uncategorized legacy item; safe patient-level fallback; Exact catalogue translation</x:v>
      </x:c>
    </x:row>
    <x:row r="12">
      <x:c r="A12" t="str">
        <x:v>1</x:v>
      </x:c>
      <x:c r="B12" t="str">
        <x:v>4952</x:v>
      </x:c>
      <x:c r="C12" t="str">
        <x:v>Οδον. Χειρουργική 1</x:v>
      </x:c>
      <x:c r="D12" s="43" t="str">
        <x:v>Έμφραξη ρητίνης V ομάδας</x:v>
      </x:c>
      <x:c r="E12" s="43" t="str">
        <x:v>Class V composite restoration</x:v>
      </x:c>
      <x:c r="F12" s="43" t="str">
        <x:v>Kompositfüllung Klasse V</x:v>
      </x:c>
      <x:c r="G12" s="43" t="str">
        <x:v>Surface-based</x:v>
      </x:c>
      <x:c r="H12" s="43" t="str">
        <x:v>Tooth surfaces (optional)</x:v>
      </x:c>
      <x:c r="I12" s="43" t="str">
        <x:v>filling</x:v>
      </x:c>
      <x:c r="J12" s="43" t="str">
        <x:v>filling</x:v>
      </x:c>
      <x:c r="K12" s="86" t="str">
        <x:v>#0F8B8D</x:v>
      </x:c>
      <x:c r="L12" s="43" t="str">
        <x:v>High</x:v>
      </x:c>
      <x:c r="M12" s="43" t="str">
        <x:v>Medium</x:v>
      </x:c>
      <x:c r="N12" s="43" t="str">
        <x:v>Restoration/surface keyword; source toothRequired=false conflicts with suggested target; Exact catalogue translation</x:v>
      </x:c>
    </x:row>
    <x:row r="13">
      <x:c r="A13" t="str">
        <x:v>1</x:v>
      </x:c>
      <x:c r="B13" t="str">
        <x:v>86137</x:v>
      </x:c>
      <x:c r="C13" t="str">
        <x:v>Οδον. Χειρουργική 1</x:v>
      </x:c>
      <x:c r="D13" s="43" t="str">
        <x:v>Ουδέτερο στρώμα</x:v>
      </x:c>
      <x:c r="E13" s="43" t="str">
        <x:v>Liner/base</x:v>
      </x:c>
      <x:c r="F13" s="43" t="str">
        <x:v>Unterfüllung</x:v>
      </x:c>
      <x:c r="G13" s="43" t="str">
        <x:v>Patient-level / history only</x:v>
      </x:c>
      <x:c r="H13" s="43" t="str">
        <x:v>Patient</x:v>
      </x:c>
      <x:c r="I13" s="43" t="str">
        <x:v>none</x:v>
      </x:c>
      <x:c r="J13" s="43" t="str">
        <x:v>general-note</x:v>
      </x:c>
      <x:c r="K13" s="86" t="str">
        <x:v>#0F8B8D</x:v>
      </x:c>
      <x:c r="L13" s="43" t="str">
        <x:v>Medium</x:v>
      </x:c>
      <x:c r="M13" s="43" t="str">
        <x:v>Needs review</x:v>
      </x:c>
      <x:c r="N13" s="43" t="str">
        <x:v>Uncategorized legacy item; safe patient-level fallback; Phrase-based clinical draft; language review recommended</x:v>
      </x:c>
    </x:row>
    <x:row r="14">
      <x:c r="A14" t="str">
        <x:v>1</x:v>
      </x:c>
      <x:c r="B14" t="str">
        <x:v>86136</x:v>
      </x:c>
      <x:c r="C14" t="str">
        <x:v>Οδον. Χειρουργική 1</x:v>
      </x:c>
      <x:c r="D14" s="43" t="str">
        <x:v>Τοποθέτηση καρφίδας</x:v>
      </x:c>
      <x:c r="E14" s="43" t="str">
        <x:v>Pin placement</x:v>
      </x:c>
      <x:c r="F14" s="43" t="str">
        <x:v>Stiftsetzung</x:v>
      </x:c>
      <x:c r="G14" s="43" t="str">
        <x:v>Patient-level / history only</x:v>
      </x:c>
      <x:c r="H14" s="43" t="str">
        <x:v>Patient</x:v>
      </x:c>
      <x:c r="I14" s="43" t="str">
        <x:v>none</x:v>
      </x:c>
      <x:c r="J14" s="43" t="str">
        <x:v>general-note</x:v>
      </x:c>
      <x:c r="K14" s="86" t="str">
        <x:v>#0F8B8D</x:v>
      </x:c>
      <x:c r="L14" s="43" t="str">
        <x:v>High</x:v>
      </x:c>
      <x:c r="M14" s="43" t="str">
        <x:v>Needs review</x:v>
      </x:c>
      <x:c r="N14" s="43" t="str">
        <x:v>Uncategorized legacy item; safe patient-level fallback; Exact catalogue translation</x:v>
      </x:c>
    </x:row>
    <x:row r="15">
      <x:c r="A15" t="str">
        <x:v>1</x:v>
      </x:c>
      <x:c r="B15" t="str">
        <x:v>86174</x:v>
      </x:c>
      <x:c r="C15" t="str">
        <x:v>Οδον. Χειρουργική 1</x:v>
      </x:c>
      <x:c r="D15" s="43" t="str">
        <x:v>Icon</x:v>
      </x:c>
      <x:c r="E15" s="43" t="str">
        <x:v>Icon resin infiltration</x:v>
      </x:c>
      <x:c r="F15" s="43" t="str">
        <x:v>Icon-Kariesinfiltration</x:v>
      </x:c>
      <x:c r="G15" s="43" t="str">
        <x:v>Patient-level / history only</x:v>
      </x:c>
      <x:c r="H15" s="43" t="str">
        <x:v>Patient</x:v>
      </x:c>
      <x:c r="I15" s="43" t="str">
        <x:v>none</x:v>
      </x:c>
      <x:c r="J15" s="43" t="str">
        <x:v>general-note</x:v>
      </x:c>
      <x:c r="K15" s="86" t="str">
        <x:v>#0F8B8D</x:v>
      </x:c>
      <x:c r="L15" s="43" t="str">
        <x:v>High</x:v>
      </x:c>
      <x:c r="M15" s="43" t="str">
        <x:v>Needs review</x:v>
      </x:c>
      <x:c r="N15" s="43" t="str">
        <x:v>Uncategorized legacy item; safe patient-level fallback; Exact catalogue translation</x:v>
      </x:c>
    </x:row>
    <x:row r="16">
      <x:c r="A16" t="str">
        <x:v>3</x:v>
      </x:c>
      <x:c r="B16" t="str">
        <x:v>86159</x:v>
      </x:c>
      <x:c r="C16" t="str">
        <x:v>Διάγνωση</x:v>
      </x:c>
      <x:c r="D16" s="43" t="str">
        <x:v>Ακρορυζική αλλοίωση</x:v>
      </x:c>
      <x:c r="E16" s="43" t="str">
        <x:v>Periapical lesion</x:v>
      </x:c>
      <x:c r="F16" s="43" t="str">
        <x:v>Periapikale Läsion</x:v>
      </x:c>
      <x:c r="G16" s="43" t="str">
        <x:v>Whole tooth</x:v>
      </x:c>
      <x:c r="H16" s="43" t="str">
        <x:v>Single tooth (if clinically specific)</x:v>
      </x:c>
      <x:c r="I16" s="43" t="str">
        <x:v>none</x:v>
      </x:c>
      <x:c r="J16" s="43" t="str">
        <x:v>diagnosis-marker</x:v>
      </x:c>
      <x:c r="K16" s="88" t="str">
        <x:v>#7A5AF8</x:v>
      </x:c>
      <x:c r="L16" s="43" t="str">
        <x:v>High</x:v>
      </x:c>
      <x:c r="M16" s="43" t="str">
        <x:v>Medium</x:v>
      </x:c>
      <x:c r="N16" s="43" t="str">
        <x:v>Tooth diagnosis group; source toothRequired=false conflicts with suggested target; Exact catalogue translation</x:v>
      </x:c>
    </x:row>
    <x:row r="17">
      <x:c r="A17" t="str">
        <x:v>3</x:v>
      </x:c>
      <x:c r="B17" t="str">
        <x:v>86031</x:v>
      </x:c>
      <x:c r="C17" t="str">
        <x:v>Διάγνωση</x:v>
      </x:c>
      <x:c r="D17" s="43" t="str">
        <x:v>Ανεπαρκής ενδοδοντική θεραπεία</x:v>
      </x:c>
      <x:c r="E17" s="43" t="str">
        <x:v>inadequate Root canal treatment of</x:v>
      </x:c>
      <x:c r="F17" s="43" t="str">
        <x:v>unzureichend Wurzelkanalbehandlung eines</x:v>
      </x:c>
      <x:c r="G17" s="43" t="str">
        <x:v>Whole tooth</x:v>
      </x:c>
      <x:c r="H17" s="43" t="str">
        <x:v>Single tooth</x:v>
      </x:c>
      <x:c r="I17" s="43" t="str">
        <x:v>rootCanal</x:v>
      </x:c>
      <x:c r="J17" s="43" t="str">
        <x:v>root-canal</x:v>
      </x:c>
      <x:c r="K17" s="88" t="str">
        <x:v>#7A5AF8</x:v>
      </x:c>
      <x:c r="L17" s="43" t="str">
        <x:v>Medium</x:v>
      </x:c>
      <x:c r="M17" s="43" t="str">
        <x:v>Medium</x:v>
      </x:c>
      <x:c r="N17" s="43" t="str">
        <x:v>Endodontic group/keyword; Phrase-based clinical draft; language review recommended</x:v>
      </x:c>
    </x:row>
    <x:row r="18">
      <x:c r="A18" t="str">
        <x:v>3</x:v>
      </x:c>
      <x:c r="B18" t="str">
        <x:v>86058</x:v>
      </x:c>
      <x:c r="C18" t="str">
        <x:v>Διάγνωση</x:v>
      </x:c>
      <x:c r="D18" s="43" t="str">
        <x:v>Αντιστρεπτή πολφίτιδα</x:v>
      </x:c>
      <x:c r="E18" s="43" t="str">
        <x:v>Reversible pulpitis</x:v>
      </x:c>
      <x:c r="F18" s="43" t="str">
        <x:v>Reversible Pulpitis</x:v>
      </x:c>
      <x:c r="G18" s="43" t="str">
        <x:v>Whole tooth</x:v>
      </x:c>
      <x:c r="H18" s="43" t="str">
        <x:v>Single tooth</x:v>
      </x:c>
      <x:c r="I18" s="43" t="str">
        <x:v>rootCanal</x:v>
      </x:c>
      <x:c r="J18" s="43" t="str">
        <x:v>root-canal</x:v>
      </x:c>
      <x:c r="K18" s="88" t="str">
        <x:v>#7A5AF8</x:v>
      </x:c>
      <x:c r="L18" s="43" t="str">
        <x:v>Medium</x:v>
      </x:c>
      <x:c r="M18" s="43" t="str">
        <x:v>Medium</x:v>
      </x:c>
      <x:c r="N18" s="43" t="str">
        <x:v>Endodontic group/keyword; Phrase-based clinical draft; language review recommended</x:v>
      </x:c>
    </x:row>
    <x:row r="19">
      <x:c r="A19" t="str">
        <x:v>3</x:v>
      </x:c>
      <x:c r="B19" t="str">
        <x:v>86216</x:v>
      </x:c>
      <x:c r="C19" t="str">
        <x:v>Διάγνωση</x:v>
      </x:c>
      <x:c r="D19" s="43" t="str">
        <x:v>Αυχενική υπερευαισθησία</x:v>
      </x:c>
      <x:c r="E19" s="43" t="str">
        <x:v>Cervical hypersensitivity</x:v>
      </x:c>
      <x:c r="F19" s="43" t="str">
        <x:v>Zervikale Überempfindlichkeit</x:v>
      </x:c>
      <x:c r="G19" s="43" t="str">
        <x:v>Whole tooth</x:v>
      </x:c>
      <x:c r="H19" s="43" t="str">
        <x:v>Single tooth (if clinically specific)</x:v>
      </x:c>
      <x:c r="I19" s="43" t="str">
        <x:v>none</x:v>
      </x:c>
      <x:c r="J19" s="43" t="str">
        <x:v>diagnosis-marker</x:v>
      </x:c>
      <x:c r="K19" s="88" t="str">
        <x:v>#7A5AF8</x:v>
      </x:c>
      <x:c r="L19" s="43" t="str">
        <x:v>Medium</x:v>
      </x:c>
      <x:c r="M19" s="43" t="str">
        <x:v>Medium</x:v>
      </x:c>
      <x:c r="N19" s="43" t="str">
        <x:v>Tooth diagnosis group; source toothRequired=false conflicts with suggested target; Phrase-based clinical draft; language review recommended</x:v>
      </x:c>
    </x:row>
    <x:row r="20">
      <x:c r="A20" t="str">
        <x:v>3</x:v>
      </x:c>
      <x:c r="B20" t="str">
        <x:v>86118</x:v>
      </x:c>
      <x:c r="C20" t="str">
        <x:v>Διάγνωση</x:v>
      </x:c>
      <x:c r="D20" s="43" t="str">
        <x:v>Δοκιμασία ζωτικότητας πολφού</x:v>
      </x:c>
      <x:c r="E20" s="43" t="str">
        <x:v>Pulp vitality test</x:v>
      </x:c>
      <x:c r="F20" s="43" t="str">
        <x:v>Vitalitätsprüfung der Pulpa</x:v>
      </x:c>
      <x:c r="G20" s="43" t="str">
        <x:v>Whole tooth</x:v>
      </x:c>
      <x:c r="H20" s="43" t="str">
        <x:v>Single tooth</x:v>
      </x:c>
      <x:c r="I20" s="43" t="str">
        <x:v>rootCanal</x:v>
      </x:c>
      <x:c r="J20" s="43" t="str">
        <x:v>root-canal</x:v>
      </x:c>
      <x:c r="K20" s="88" t="str">
        <x:v>#7A5AF8</x:v>
      </x:c>
      <x:c r="L20" s="43" t="str">
        <x:v>Medium</x:v>
      </x:c>
      <x:c r="M20" s="43" t="str">
        <x:v>Medium</x:v>
      </x:c>
      <x:c r="N20" s="43" t="str">
        <x:v>Endodontic group/keyword; Phrase-based clinical draft; language review recommended</x:v>
      </x:c>
    </x:row>
    <x:row r="21">
      <x:c r="A21" t="str">
        <x:v>3</x:v>
      </x:c>
      <x:c r="B21" t="str">
        <x:v>86059</x:v>
      </x:c>
      <x:c r="C21" t="str">
        <x:v>Διάγνωση</x:v>
      </x:c>
      <x:c r="D21" s="43" t="str">
        <x:v>Μη αντιστρεπτή πολφίτιδα</x:v>
      </x:c>
      <x:c r="E21" s="43" t="str">
        <x:v>Irreversible pulpitis</x:v>
      </x:c>
      <x:c r="F21" s="43" t="str">
        <x:v>Irreversible Pulpitis</x:v>
      </x:c>
      <x:c r="G21" s="43" t="str">
        <x:v>Whole tooth</x:v>
      </x:c>
      <x:c r="H21" s="43" t="str">
        <x:v>Single tooth</x:v>
      </x:c>
      <x:c r="I21" s="43" t="str">
        <x:v>rootCanal</x:v>
      </x:c>
      <x:c r="J21" s="43" t="str">
        <x:v>root-canal</x:v>
      </x:c>
      <x:c r="K21" s="88" t="str">
        <x:v>#7A5AF8</x:v>
      </x:c>
      <x:c r="L21" s="43" t="str">
        <x:v>High</x:v>
      </x:c>
      <x:c r="M21" s="43" t="str">
        <x:v>Medium</x:v>
      </x:c>
      <x:c r="N21" s="43" t="str">
        <x:v>Endodontic group/keyword; Exact catalogue translation</x:v>
      </x:c>
    </x:row>
    <x:row r="22">
      <x:c r="A22" t="str">
        <x:v>3</x:v>
      </x:c>
      <x:c r="B22" t="str">
        <x:v>86060</x:v>
      </x:c>
      <x:c r="C22" t="str">
        <x:v>Διάγνωση</x:v>
      </x:c>
      <x:c r="D22" s="43" t="str">
        <x:v>Νέκρωση πολφού</x:v>
      </x:c>
      <x:c r="E22" s="43" t="str">
        <x:v>Pulp necrosis</x:v>
      </x:c>
      <x:c r="F22" s="43" t="str">
        <x:v>Pulpanekrose</x:v>
      </x:c>
      <x:c r="G22" s="43" t="str">
        <x:v>Whole tooth</x:v>
      </x:c>
      <x:c r="H22" s="43" t="str">
        <x:v>Single tooth</x:v>
      </x:c>
      <x:c r="I22" s="43" t="str">
        <x:v>rootCanal</x:v>
      </x:c>
      <x:c r="J22" s="43" t="str">
        <x:v>root-canal</x:v>
      </x:c>
      <x:c r="K22" s="88" t="str">
        <x:v>#7A5AF8</x:v>
      </x:c>
      <x:c r="L22" s="43" t="str">
        <x:v>Medium</x:v>
      </x:c>
      <x:c r="M22" s="43" t="str">
        <x:v>Medium</x:v>
      </x:c>
      <x:c r="N22" s="43" t="str">
        <x:v>Endodontic group/keyword; Phrase-based clinical draft; language review recommended</x:v>
      </x:c>
    </x:row>
    <x:row r="23">
      <x:c r="A23" t="str">
        <x:v>3</x:v>
      </x:c>
      <x:c r="B23" t="str">
        <x:v>86033</x:v>
      </x:c>
      <x:c r="C23" t="str">
        <x:v>Διάγνωση</x:v>
      </x:c>
      <x:c r="D23" s="43" t="str">
        <x:v>Παλιά γέφυρα</x:v>
      </x:c>
      <x:c r="E23" s="43" t="str">
        <x:v>old Bridge</x:v>
      </x:c>
      <x:c r="F23" s="43" t="str">
        <x:v>alt Brücke</x:v>
      </x:c>
      <x:c r="G23" s="43" t="str">
        <x:v>Bridge</x:v>
      </x:c>
      <x:c r="H23" s="43" t="str">
        <x:v>Multi-tooth bridge units</x:v>
      </x:c>
      <x:c r="I23" s="43" t="str">
        <x:v>bridge</x:v>
      </x:c>
      <x:c r="J23" s="43" t="str">
        <x:v>bridge</x:v>
      </x:c>
      <x:c r="K23" s="88" t="str">
        <x:v>#7A5AF8</x:v>
      </x:c>
      <x:c r="L23" s="43" t="str">
        <x:v>Medium</x:v>
      </x:c>
      <x:c r="M23" s="43" t="str">
        <x:v>Medium</x:v>
      </x:c>
      <x:c r="N23" s="43" t="str">
        <x:v>Bridge/pontic keyword; source toothRequired=false conflicts with suggested target; Phrase-based clinical draft; language review recommended</x:v>
      </x:c>
    </x:row>
    <x:row r="24">
      <x:c r="A24" t="str">
        <x:v>3</x:v>
      </x:c>
      <x:c r="B24" t="str">
        <x:v>86148</x:v>
      </x:c>
      <x:c r="C24" t="str">
        <x:v>Διάγνωση</x:v>
      </x:c>
      <x:c r="D24" s="43" t="str">
        <x:v>Υπόλοιπο ρίζας</x:v>
      </x:c>
      <x:c r="E24" s="43" t="str">
        <x:v>Retained root</x:v>
      </x:c>
      <x:c r="F24" s="43" t="str">
        <x:v>Wurzelrest</x:v>
      </x:c>
      <x:c r="G24" s="43" t="str">
        <x:v>Whole tooth</x:v>
      </x:c>
      <x:c r="H24" s="43" t="str">
        <x:v>Single tooth (if clinically specific)</x:v>
      </x:c>
      <x:c r="I24" s="43" t="str">
        <x:v>none</x:v>
      </x:c>
      <x:c r="J24" s="43" t="str">
        <x:v>diagnosis-marker</x:v>
      </x:c>
      <x:c r="K24" s="88" t="str">
        <x:v>#7A5AF8</x:v>
      </x:c>
      <x:c r="L24" s="43" t="str">
        <x:v>Medium</x:v>
      </x:c>
      <x:c r="M24" s="43" t="str">
        <x:v>Medium</x:v>
      </x:c>
      <x:c r="N24" s="43" t="str">
        <x:v>Tooth diagnosis group; source toothRequired=false conflicts with suggested target; Phrase-based clinical draft; language review recommended</x:v>
      </x:c>
    </x:row>
    <x:row r="25">
      <x:c r="A25" t="str">
        <x:v>3</x:v>
      </x:c>
      <x:c r="B25" t="str">
        <x:v>86147</x:v>
      </x:c>
      <x:c r="C25" t="str">
        <x:v>Διάγνωση</x:v>
      </x:c>
      <x:c r="D25" s="43" t="str">
        <x:v>Υφίζηση</x:v>
      </x:c>
      <x:c r="E25" s="43" t="str">
        <x:v>Gingival recession</x:v>
      </x:c>
      <x:c r="F25" s="43" t="str">
        <x:v>Gingivarezession</x:v>
      </x:c>
      <x:c r="G25" s="43" t="str">
        <x:v>Whole tooth</x:v>
      </x:c>
      <x:c r="H25" s="43" t="str">
        <x:v>Single tooth (if clinically specific)</x:v>
      </x:c>
      <x:c r="I25" s="43" t="str">
        <x:v>none</x:v>
      </x:c>
      <x:c r="J25" s="43" t="str">
        <x:v>diagnosis-marker</x:v>
      </x:c>
      <x:c r="K25" s="88" t="str">
        <x:v>#7A5AF8</x:v>
      </x:c>
      <x:c r="L25" s="43" t="str">
        <x:v>Medium</x:v>
      </x:c>
      <x:c r="M25" s="43" t="str">
        <x:v>Medium</x:v>
      </x:c>
      <x:c r="N25" s="43" t="str">
        <x:v>Tooth diagnosis group; source toothRequired=false conflicts with suggested target; Phrase-based clinical draft; language review recommended</x:v>
      </x:c>
    </x:row>
    <x:row r="26">
      <x:c r="A26" t="str">
        <x:v>4</x:v>
      </x:c>
      <x:c r="B26" t="str">
        <x:v>4960</x:v>
      </x:c>
      <x:c r="C26" t="str">
        <x:v>Εξακτική/Χειρουργική</x:v>
      </x:c>
      <x:c r="D26" s="43" t="str">
        <x:v>Ακρορριζεκτομή</x:v>
      </x:c>
      <x:c r="E26" s="43" t="str">
        <x:v>Apicoectomy</x:v>
      </x:c>
      <x:c r="F26" s="43" t="str">
        <x:v>Wurzelspitzenresektion</x:v>
      </x:c>
      <x:c r="G26" s="43" t="str">
        <x:v>Whole tooth</x:v>
      </x:c>
      <x:c r="H26" s="43" t="str">
        <x:v>Single tooth</x:v>
      </x:c>
      <x:c r="I26" s="43" t="str">
        <x:v>rootCanal</x:v>
      </x:c>
      <x:c r="J26" s="43" t="str">
        <x:v>root-canal</x:v>
      </x:c>
      <x:c r="K26" s="90" t="str">
        <x:v>#E05D5D</x:v>
      </x:c>
      <x:c r="L26" s="43" t="str">
        <x:v>Medium</x:v>
      </x:c>
      <x:c r="M26" s="43" t="str">
        <x:v>Medium</x:v>
      </x:c>
      <x:c r="N26" s="43" t="str">
        <x:v>Endodontic group/keyword; source toothRequired=false conflicts with suggested target; Phrase-based clinical draft; language review recommended</x:v>
      </x:c>
    </x:row>
    <x:row r="27">
      <x:c r="A27" t="str">
        <x:v>4</x:v>
      </x:c>
      <x:c r="B27" t="str">
        <x:v>4982</x:v>
      </x:c>
      <x:c r="C27" t="str">
        <x:v>Εξακτική/Χειρουργική</x:v>
      </x:c>
      <x:c r="D27" s="43" t="str">
        <x:v>Αφαίρεση καλύπτρας</x:v>
      </x:c>
      <x:c r="E27" s="43" t="str">
        <x:v>Removal of operculum</x:v>
      </x:c>
      <x:c r="F27" s="43" t="str">
        <x:v>Entfernung der Schleimhautkappe</x:v>
      </x:c>
      <x:c r="G27" s="43" t="str">
        <x:v>Whole tooth</x:v>
      </x:c>
      <x:c r="H27" s="43" t="str">
        <x:v>Single tooth</x:v>
      </x:c>
      <x:c r="I27" s="43" t="str">
        <x:v>none</x:v>
      </x:c>
      <x:c r="J27" s="43" t="str">
        <x:v>oral-surgery</x:v>
      </x:c>
      <x:c r="K27" s="90" t="str">
        <x:v>#E05D5D</x:v>
      </x:c>
      <x:c r="L27" s="43" t="str">
        <x:v>Medium</x:v>
      </x:c>
      <x:c r="M27" s="43" t="str">
        <x:v>Medium</x:v>
      </x:c>
      <x:c r="N27" s="43" t="str">
        <x:v>Oral-surgery group with legacy tooth flag; Phrase-based clinical draft; language review recommended</x:v>
      </x:c>
    </x:row>
    <x:row r="28">
      <x:c r="A28" t="str">
        <x:v>4</x:v>
      </x:c>
      <x:c r="B28" t="str">
        <x:v>4983</x:v>
      </x:c>
      <x:c r="C28" t="str">
        <x:v>Εξακτική/Χειρουργική</x:v>
      </x:c>
      <x:c r="D28" s="43" t="str">
        <x:v>Βιοψία</x:v>
      </x:c>
      <x:c r="E28" s="43" t="str">
        <x:v>Biopsy</x:v>
      </x:c>
      <x:c r="F28" s="43" t="str">
        <x:v>Biopsie</x:v>
      </x:c>
      <x:c r="G28" s="43" t="str">
        <x:v>Whole tooth</x:v>
      </x:c>
      <x:c r="H28" s="43" t="str">
        <x:v>Single tooth</x:v>
      </x:c>
      <x:c r="I28" s="43" t="str">
        <x:v>none</x:v>
      </x:c>
      <x:c r="J28" s="43" t="str">
        <x:v>oral-surgery</x:v>
      </x:c>
      <x:c r="K28" s="90" t="str">
        <x:v>#E05D5D</x:v>
      </x:c>
      <x:c r="L28" s="43" t="str">
        <x:v>Medium</x:v>
      </x:c>
      <x:c r="M28" s="43" t="str">
        <x:v>Medium</x:v>
      </x:c>
      <x:c r="N28" s="43" t="str">
        <x:v>Oral-surgery group with legacy tooth flag; Phrase-based clinical draft; language review recommended</x:v>
      </x:c>
    </x:row>
    <x:row r="29">
      <x:c r="A29" t="str">
        <x:v>4</x:v>
      </x:c>
      <x:c r="B29" t="str">
        <x:v>86053</x:v>
      </x:c>
      <x:c r="C29" t="str">
        <x:v>Εξακτική/Χειρουργική</x:v>
      </x:c>
      <x:c r="D29" s="43" t="str">
        <x:v>Διάτρηση ιγμορείου</x:v>
      </x:c>
      <x:c r="E29" s="43" t="str">
        <x:v>Sinus perforation</x:v>
      </x:c>
      <x:c r="F29" s="43" t="str">
        <x:v>Kieferhöhlenperforation</x:v>
      </x:c>
      <x:c r="G29" s="43" t="str">
        <x:v>Whole tooth</x:v>
      </x:c>
      <x:c r="H29" s="43" t="str">
        <x:v>Single tooth</x:v>
      </x:c>
      <x:c r="I29" s="43" t="str">
        <x:v>none</x:v>
      </x:c>
      <x:c r="J29" s="43" t="str">
        <x:v>oral-surgery</x:v>
      </x:c>
      <x:c r="K29" s="90" t="str">
        <x:v>#E05D5D</x:v>
      </x:c>
      <x:c r="L29" s="43" t="str">
        <x:v>Medium</x:v>
      </x:c>
      <x:c r="M29" s="43" t="str">
        <x:v>Medium</x:v>
      </x:c>
      <x:c r="N29" s="43" t="str">
        <x:v>Oral-surgery group with legacy tooth flag; Phrase-based clinical draft; language review recommended</x:v>
      </x:c>
    </x:row>
    <x:row r="30">
      <x:c r="A30" t="str">
        <x:v>4</x:v>
      </x:c>
      <x:c r="B30" t="str">
        <x:v>4988</x:v>
      </x:c>
      <x:c r="C30" t="str">
        <x:v>Εξακτική/Χειρουργική</x:v>
      </x:c>
      <x:c r="D30" s="43" t="str">
        <x:v>Εκπυρήνιση κύστης</x:v>
      </x:c>
      <x:c r="E30" s="43" t="str">
        <x:v>Cyst enucleation</x:v>
      </x:c>
      <x:c r="F30" s="43" t="str">
        <x:v>Zystektomie</x:v>
      </x:c>
      <x:c r="G30" s="43" t="str">
        <x:v>Whole tooth</x:v>
      </x:c>
      <x:c r="H30" s="43" t="str">
        <x:v>Single tooth</x:v>
      </x:c>
      <x:c r="I30" s="43" t="str">
        <x:v>none</x:v>
      </x:c>
      <x:c r="J30" s="43" t="str">
        <x:v>oral-surgery</x:v>
      </x:c>
      <x:c r="K30" s="90" t="str">
        <x:v>#E05D5D</x:v>
      </x:c>
      <x:c r="L30" s="43" t="str">
        <x:v>Medium</x:v>
      </x:c>
      <x:c r="M30" s="43" t="str">
        <x:v>Medium</x:v>
      </x:c>
      <x:c r="N30" s="43" t="str">
        <x:v>Oral-surgery group with legacy tooth flag; Phrase-based clinical draft; language review recommended</x:v>
      </x:c>
    </x:row>
    <x:row r="31">
      <x:c r="A31" t="str">
        <x:v>4</x:v>
      </x:c>
      <x:c r="B31" t="str">
        <x:v>5001</x:v>
      </x:c>
      <x:c r="C31" t="str">
        <x:v>Εξακτική/Χειρουργική</x:v>
      </x:c>
      <x:c r="D31" s="43" t="str">
        <x:v>Εξαγωγή</x:v>
      </x:c>
      <x:c r="E31" s="43" t="str">
        <x:v>Extraction</x:v>
      </x:c>
      <x:c r="F31" s="43" t="str">
        <x:v>Extraktion</x:v>
      </x:c>
      <x:c r="G31" s="43" t="str">
        <x:v>Whole tooth</x:v>
      </x:c>
      <x:c r="H31" s="43" t="str">
        <x:v>Single tooth</x:v>
      </x:c>
      <x:c r="I31" s="43" t="str">
        <x:v>extraction</x:v>
      </x:c>
      <x:c r="J31" s="43" t="str">
        <x:v>extraction</x:v>
      </x:c>
      <x:c r="K31" s="90" t="str">
        <x:v>#E05D5D</x:v>
      </x:c>
      <x:c r="L31" s="43" t="str">
        <x:v>Medium</x:v>
      </x:c>
      <x:c r="M31" s="43" t="str">
        <x:v>Medium</x:v>
      </x:c>
      <x:c r="N31" s="43" t="str">
        <x:v>Extraction keyword; source toothRequired=false conflicts with suggested target; Phrase-based clinical draft; language review recommended</x:v>
      </x:c>
    </x:row>
    <x:row r="32">
      <x:c r="A32" t="str">
        <x:v>4</x:v>
      </x:c>
      <x:c r="B32" t="str">
        <x:v>4914</x:v>
      </x:c>
      <x:c r="C32" t="str">
        <x:v>Εξακτική/Χειρουργική</x:v>
      </x:c>
      <x:c r="D32" s="43" t="str">
        <x:v>Θεραπεία ξηρού φατνίου</x:v>
      </x:c>
      <x:c r="E32" s="43" t="str">
        <x:v>Dry socket treatment</x:v>
      </x:c>
      <x:c r="F32" s="43" t="str">
        <x:v>Behandlung einer Alveolitis sicca</x:v>
      </x:c>
      <x:c r="G32" s="43" t="str">
        <x:v>Whole tooth</x:v>
      </x:c>
      <x:c r="H32" s="43" t="str">
        <x:v>Single tooth</x:v>
      </x:c>
      <x:c r="I32" s="43" t="str">
        <x:v>none</x:v>
      </x:c>
      <x:c r="J32" s="43" t="str">
        <x:v>oral-surgery</x:v>
      </x:c>
      <x:c r="K32" s="90" t="str">
        <x:v>#E05D5D</x:v>
      </x:c>
      <x:c r="L32" s="43" t="str">
        <x:v>Medium</x:v>
      </x:c>
      <x:c r="M32" s="43" t="str">
        <x:v>Medium</x:v>
      </x:c>
      <x:c r="N32" s="43" t="str">
        <x:v>Oral-surgery group with legacy tooth flag; Phrase-based clinical draft; language review recommended</x:v>
      </x:c>
    </x:row>
    <x:row r="33">
      <x:c r="A33" t="str">
        <x:v>4</x:v>
      </x:c>
      <x:c r="B33" t="str">
        <x:v>86186</x:v>
      </x:c>
      <x:c r="C33" t="str">
        <x:v>Εξακτική/Χειρουργική</x:v>
      </x:c>
      <x:c r="D33" s="43" t="str">
        <x:v>Ουλεκτομή / επιμήκυνση μύλης</x:v>
      </x:c>
      <x:c r="E33" s="43" t="str">
        <x:v>Gingivectomy / crown lengthening</x:v>
      </x:c>
      <x:c r="F33" s="43" t="str">
        <x:v>Gingivektomie / Kronenverlängerung</x:v>
      </x:c>
      <x:c r="G33" s="43" t="str">
        <x:v>Whole tooth</x:v>
      </x:c>
      <x:c r="H33" s="43" t="str">
        <x:v>Single tooth</x:v>
      </x:c>
      <x:c r="I33" s="43" t="str">
        <x:v>none</x:v>
      </x:c>
      <x:c r="J33" s="43" t="str">
        <x:v>oral-surgery</x:v>
      </x:c>
      <x:c r="K33" s="90" t="str">
        <x:v>#E05D5D</x:v>
      </x:c>
      <x:c r="L33" s="43" t="str">
        <x:v>Medium</x:v>
      </x:c>
      <x:c r="M33" s="43" t="str">
        <x:v>Medium</x:v>
      </x:c>
      <x:c r="N33" s="43" t="str">
        <x:v>Oral-surgery group with legacy tooth flag; Phrase-based clinical draft; language review recommended</x:v>
      </x:c>
    </x:row>
    <x:row r="34">
      <x:c r="A34" t="str">
        <x:v>4</x:v>
      </x:c>
      <x:c r="B34" t="str">
        <x:v>86152</x:v>
      </x:c>
      <x:c r="C34" t="str">
        <x:v>Εξακτική/Χειρουργική</x:v>
      </x:c>
      <x:c r="D34" s="43" t="str">
        <x:v>Προγομφοποίηση / εκτομή ρίζας</x:v>
      </x:c>
      <x:c r="E34" s="43" t="str">
        <x:v>Bicuspidization / root resection</x:v>
      </x:c>
      <x:c r="F34" s="43" t="str">
        <x:v>Prämolarisierung / Wurzelresektion</x:v>
      </x:c>
      <x:c r="G34" s="43" t="str">
        <x:v>Whole tooth</x:v>
      </x:c>
      <x:c r="H34" s="43" t="str">
        <x:v>Single tooth</x:v>
      </x:c>
      <x:c r="I34" s="43" t="str">
        <x:v>none</x:v>
      </x:c>
      <x:c r="J34" s="43" t="str">
        <x:v>oral-surgery</x:v>
      </x:c>
      <x:c r="K34" s="90" t="str">
        <x:v>#E05D5D</x:v>
      </x:c>
      <x:c r="L34" s="43" t="str">
        <x:v>Needs review</x:v>
      </x:c>
      <x:c r="M34" s="43" t="str">
        <x:v>High</x:v>
      </x:c>
      <x:c r="N34" s="43" t="str">
        <x:v>Oral-surgery group with legacy tooth flag; Legacy surgical wording requires clinical confirmation</x:v>
      </x:c>
    </x:row>
    <x:row r="35">
      <x:c r="A35" t="str">
        <x:v>4</x:v>
      </x:c>
      <x:c r="B35" t="str">
        <x:v>5033</x:v>
      </x:c>
      <x:c r="C35" t="str">
        <x:v>Εξακτική/Χειρουργική</x:v>
      </x:c>
      <x:c r="D35" s="43" t="str">
        <x:v>Ράματα</x:v>
      </x:c>
      <x:c r="E35" s="43" t="str">
        <x:v>Sutures</x:v>
      </x:c>
      <x:c r="F35" s="43" t="str">
        <x:v>Nähte</x:v>
      </x:c>
      <x:c r="G35" s="43" t="str">
        <x:v>Whole tooth</x:v>
      </x:c>
      <x:c r="H35" s="43" t="str">
        <x:v>Single tooth</x:v>
      </x:c>
      <x:c r="I35" s="43" t="str">
        <x:v>none</x:v>
      </x:c>
      <x:c r="J35" s="43" t="str">
        <x:v>oral-surgery</x:v>
      </x:c>
      <x:c r="K35" s="90" t="str">
        <x:v>#E05D5D</x:v>
      </x:c>
      <x:c r="L35" s="43" t="str">
        <x:v>Medium</x:v>
      </x:c>
      <x:c r="M35" s="43" t="str">
        <x:v>Medium</x:v>
      </x:c>
      <x:c r="N35" s="43" t="str">
        <x:v>Oral-surgery group with legacy tooth flag; Phrase-based clinical draft; language review recommended</x:v>
      </x:c>
    </x:row>
    <x:row r="36">
      <x:c r="A36" t="str">
        <x:v>4</x:v>
      </x:c>
      <x:c r="B36" t="str">
        <x:v>86052</x:v>
      </x:c>
      <x:c r="C36" t="str">
        <x:v>Εξακτική/Χειρουργική</x:v>
      </x:c>
      <x:c r="D36" s="43" t="str">
        <x:v>Σχάση αποστήματος</x:v>
      </x:c>
      <x:c r="E36" s="43" t="str">
        <x:v>Abscess incision</x:v>
      </x:c>
      <x:c r="F36" s="43" t="str">
        <x:v>Abszessinzision</x:v>
      </x:c>
      <x:c r="G36" s="43" t="str">
        <x:v>Whole tooth</x:v>
      </x:c>
      <x:c r="H36" s="43" t="str">
        <x:v>Single tooth</x:v>
      </x:c>
      <x:c r="I36" s="43" t="str">
        <x:v>none</x:v>
      </x:c>
      <x:c r="J36" s="43" t="str">
        <x:v>oral-surgery</x:v>
      </x:c>
      <x:c r="K36" s="90" t="str">
        <x:v>#E05D5D</x:v>
      </x:c>
      <x:c r="L36" s="43" t="str">
        <x:v>Medium</x:v>
      </x:c>
      <x:c r="M36" s="43" t="str">
        <x:v>Medium</x:v>
      </x:c>
      <x:c r="N36" s="43" t="str">
        <x:v>Oral-surgery group with legacy tooth flag; Phrase-based clinical draft; language review recommended</x:v>
      </x:c>
    </x:row>
    <x:row r="37">
      <x:c r="A37" t="str">
        <x:v>4</x:v>
      </x:c>
      <x:c r="B37" t="str">
        <x:v>86187</x:v>
      </x:c>
      <x:c r="C37" t="str">
        <x:v>Εξακτική/Χειρουργική</x:v>
      </x:c>
      <x:c r="D37" s="43" t="str">
        <x:v>Χειρουργική επιμήκυνση μύλης</x:v>
      </x:c>
      <x:c r="E37" s="43" t="str">
        <x:v>Surgical crown lengthening</x:v>
      </x:c>
      <x:c r="F37" s="43" t="str">
        <x:v>Chirurgische Kronenverlängerung</x:v>
      </x:c>
      <x:c r="G37" s="43" t="str">
        <x:v>Whole tooth</x:v>
      </x:c>
      <x:c r="H37" s="43" t="str">
        <x:v>Single tooth</x:v>
      </x:c>
      <x:c r="I37" s="43" t="str">
        <x:v>none</x:v>
      </x:c>
      <x:c r="J37" s="43" t="str">
        <x:v>oral-surgery</x:v>
      </x:c>
      <x:c r="K37" s="90" t="str">
        <x:v>#E05D5D</x:v>
      </x:c>
      <x:c r="L37" s="43" t="str">
        <x:v>Medium</x:v>
      </x:c>
      <x:c r="M37" s="43" t="str">
        <x:v>Medium</x:v>
      </x:c>
      <x:c r="N37" s="43" t="str">
        <x:v>Oral-surgery group with legacy tooth flag; Phrase-based clinical draft; language review recommended</x:v>
      </x:c>
    </x:row>
    <x:row r="38">
      <x:c r="A38" t="str">
        <x:v>5</x:v>
      </x:c>
      <x:c r="B38" t="str">
        <x:v>4915</x:v>
      </x:c>
      <x:c r="C38" t="str">
        <x:v>Ακίνητη Προσθετική</x:v>
      </x:c>
      <x:c r="D38" s="43" t="str">
        <x:v>Άξονας υαλονημάτων</x:v>
      </x:c>
      <x:c r="E38" s="43" t="str">
        <x:v>Glass-fiber post</x:v>
      </x:c>
      <x:c r="F38" s="43" t="str">
        <x:v>Glasfaserstift</x:v>
      </x:c>
      <x:c r="G38" s="43" t="str">
        <x:v>Whole tooth</x:v>
      </x:c>
      <x:c r="H38" s="43" t="str">
        <x:v>Single tooth</x:v>
      </x:c>
      <x:c r="I38" s="43" t="str">
        <x:v>none</x:v>
      </x:c>
      <x:c r="J38" s="43" t="str">
        <x:v>fixed-prosthetic</x:v>
      </x:c>
      <x:c r="K38" s="92" t="str">
        <x:v>#2E9D63</x:v>
      </x:c>
      <x:c r="L38" s="43" t="str">
        <x:v>High</x:v>
      </x:c>
      <x:c r="M38" s="43" t="str">
        <x:v>Medium</x:v>
      </x:c>
      <x:c r="N38" s="43" t="str">
        <x:v>Fixed-prosthodontic group fallback; Exact catalogue translation</x:v>
      </x:c>
    </x:row>
    <x:row r="39">
      <x:c r="A39" t="str">
        <x:v>5</x:v>
      </x:c>
      <x:c r="B39" t="str">
        <x:v>5069</x:v>
      </x:c>
      <x:c r="C39" t="str">
        <x:v>Ακίνητη Προσθετική</x:v>
      </x:c>
      <x:c r="D39" s="43" t="str">
        <x:v>Άξονας χυτός</x:v>
      </x:c>
      <x:c r="E39" s="43" t="str">
        <x:v>Cast post and core</x:v>
      </x:c>
      <x:c r="F39" s="43" t="str">
        <x:v>Gegossener Stiftaufbau</x:v>
      </x:c>
      <x:c r="G39" s="43" t="str">
        <x:v>Whole tooth</x:v>
      </x:c>
      <x:c r="H39" s="43" t="str">
        <x:v>Single tooth</x:v>
      </x:c>
      <x:c r="I39" s="43" t="str">
        <x:v>none</x:v>
      </x:c>
      <x:c r="J39" s="43" t="str">
        <x:v>fixed-prosthetic</x:v>
      </x:c>
      <x:c r="K39" s="92" t="str">
        <x:v>#2E9D63</x:v>
      </x:c>
      <x:c r="L39" s="43" t="str">
        <x:v>High</x:v>
      </x:c>
      <x:c r="M39" s="43" t="str">
        <x:v>Medium</x:v>
      </x:c>
      <x:c r="N39" s="43" t="str">
        <x:v>Fixed-prosthodontic group fallback; Exact catalogue translation</x:v>
      </x:c>
    </x:row>
    <x:row r="40">
      <x:c r="A40" t="str">
        <x:v>5</x:v>
      </x:c>
      <x:c r="B40" t="str">
        <x:v>4917</x:v>
      </x:c>
      <x:c r="C40" t="str">
        <x:v>Ακίνητη Προσθετική</x:v>
      </x:c>
      <x:c r="D40" s="43" t="str">
        <x:v>Άξονας Radix Anker</x:v>
      </x:c>
      <x:c r="E40" s="43" t="str">
        <x:v>Radix Anker post</x:v>
      </x:c>
      <x:c r="F40" s="43" t="str">
        <x:v>Radix-Anker-Stift</x:v>
      </x:c>
      <x:c r="G40" s="43" t="str">
        <x:v>Whole tooth</x:v>
      </x:c>
      <x:c r="H40" s="43" t="str">
        <x:v>Single tooth</x:v>
      </x:c>
      <x:c r="I40" s="43" t="str">
        <x:v>none</x:v>
      </x:c>
      <x:c r="J40" s="43" t="str">
        <x:v>fixed-prosthetic</x:v>
      </x:c>
      <x:c r="K40" s="92" t="str">
        <x:v>#2E9D63</x:v>
      </x:c>
      <x:c r="L40" s="43" t="str">
        <x:v>High</x:v>
      </x:c>
      <x:c r="M40" s="43" t="str">
        <x:v>Medium</x:v>
      </x:c>
      <x:c r="N40" s="43" t="str">
        <x:v>Fixed-prosthodontic group fallback; Exact catalogue translation</x:v>
      </x:c>
    </x:row>
    <x:row r="41">
      <x:c r="A41" t="str">
        <x:v>5</x:v>
      </x:c>
      <x:c r="B41" t="str">
        <x:v>86221</x:v>
      </x:c>
      <x:c r="C41" t="str">
        <x:v>Ακίνητη Προσθετική</x:v>
      </x:c>
      <x:c r="D41" s="43" t="str">
        <x:v>Βάθρο φρεζαριστό στεφάνης</x:v>
      </x:c>
      <x:c r="E41" s="43" t="str">
        <x:v>Milled crown base</x:v>
      </x:c>
      <x:c r="F41" s="43" t="str">
        <x:v>Gefräste Kronenbasis</x:v>
      </x:c>
      <x:c r="G41" s="43" t="str">
        <x:v>Whole tooth</x:v>
      </x:c>
      <x:c r="H41" s="43" t="str">
        <x:v>Single tooth</x:v>
      </x:c>
      <x:c r="I41" s="43" t="str">
        <x:v>crown</x:v>
      </x:c>
      <x:c r="J41" s="43" t="str">
        <x:v>crown</x:v>
      </x:c>
      <x:c r="K41" s="92" t="str">
        <x:v>#2E9D63</x:v>
      </x:c>
      <x:c r="L41" s="43" t="str">
        <x:v>Needs review</x:v>
      </x:c>
      <x:c r="M41" s="43" t="str">
        <x:v>High</x:v>
      </x:c>
      <x:c r="N41" s="43" t="str">
        <x:v>Crown/veneer keyword; Legacy laboratory wording requires confirmation</x:v>
      </x:c>
    </x:row>
    <x:row r="42">
      <x:c r="A42" t="str">
        <x:v>5</x:v>
      </x:c>
      <x:c r="B42" t="str">
        <x:v>86190</x:v>
      </x:c>
      <x:c r="C42" t="str">
        <x:v>Ακίνητη Προσθετική</x:v>
      </x:c>
      <x:c r="D42" s="43" t="str">
        <x:v>Ένθετο/υπερένθετο ζιρκονίας</x:v>
      </x:c>
      <x:c r="E42" s="43" t="str">
        <x:v>Inlay/onlay zirconia</x:v>
      </x:c>
      <x:c r="F42" s="43" t="str">
        <x:v>Inlay/Onlay Zirkonoxid</x:v>
      </x:c>
      <x:c r="G42" s="43" t="str">
        <x:v>Surface-based</x:v>
      </x:c>
      <x:c r="H42" s="43" t="str">
        <x:v>Tooth surfaces (optional)</x:v>
      </x:c>
      <x:c r="I42" s="43" t="str">
        <x:v>filling</x:v>
      </x:c>
      <x:c r="J42" s="43" t="str">
        <x:v>inlay-onlay</x:v>
      </x:c>
      <x:c r="K42" s="92" t="str">
        <x:v>#2E9D63</x:v>
      </x:c>
      <x:c r="L42" s="43" t="str">
        <x:v>Medium</x:v>
      </x:c>
      <x:c r="M42" s="43" t="str">
        <x:v>Medium</x:v>
      </x:c>
      <x:c r="N42" s="43" t="str">
        <x:v>Restoration/surface keyword; source toothRequired=false conflicts with suggested target; Phrase-based clinical draft; language review recommended</x:v>
      </x:c>
    </x:row>
    <x:row r="43">
      <x:c r="A43" t="str">
        <x:v>5</x:v>
      </x:c>
      <x:c r="B43" t="str">
        <x:v>86201</x:v>
      </x:c>
      <x:c r="C43" t="str">
        <x:v>Ακίνητη Προσθετική</x:v>
      </x:c>
      <x:c r="D43" s="43" t="str">
        <x:v>Όψη ρητίνης</x:v>
      </x:c>
      <x:c r="E43" s="43" t="str">
        <x:v>Composite veneer</x:v>
      </x:c>
      <x:c r="F43" s="43" t="str">
        <x:v>Kompositveneer</x:v>
      </x:c>
      <x:c r="G43" s="43" t="str">
        <x:v>Surface-based</x:v>
      </x:c>
      <x:c r="H43" s="43" t="str">
        <x:v>Tooth surfaces (optional)</x:v>
      </x:c>
      <x:c r="I43" s="43" t="str">
        <x:v>filling</x:v>
      </x:c>
      <x:c r="J43" s="43" t="str">
        <x:v>filling</x:v>
      </x:c>
      <x:c r="K43" s="92" t="str">
        <x:v>#2E9D63</x:v>
      </x:c>
      <x:c r="L43" s="43" t="str">
        <x:v>Medium</x:v>
      </x:c>
      <x:c r="M43" s="43" t="str">
        <x:v>Medium</x:v>
      </x:c>
      <x:c r="N43" s="43" t="str">
        <x:v>Restoration/surface keyword; source toothRequired=false conflicts with suggested target; Phrase-based clinical draft; language review recommended</x:v>
      </x:c>
    </x:row>
    <x:row r="44">
      <x:c r="A44" t="str">
        <x:v>5</x:v>
      </x:c>
      <x:c r="B44" t="str">
        <x:v>86093</x:v>
      </x:c>
      <x:c r="C44" t="str">
        <x:v>Ακίνητη Προσθετική</x:v>
      </x:c>
      <x:c r="D44" s="43" t="str">
        <x:v>Πρόβα σκελετού</x:v>
      </x:c>
      <x:c r="E44" s="43" t="str">
        <x:v>Framework try-in</x:v>
      </x:c>
      <x:c r="F44" s="43" t="str">
        <x:v>Gerüsteinprobe</x:v>
      </x:c>
      <x:c r="G44" s="43" t="str">
        <x:v>Whole tooth</x:v>
      </x:c>
      <x:c r="H44" s="43" t="str">
        <x:v>Single tooth</x:v>
      </x:c>
      <x:c r="I44" s="43" t="str">
        <x:v>none</x:v>
      </x:c>
      <x:c r="J44" s="43" t="str">
        <x:v>fixed-prosthetic</x:v>
      </x:c>
      <x:c r="K44" s="92" t="str">
        <x:v>#2E9D63</x:v>
      </x:c>
      <x:c r="L44" s="43" t="str">
        <x:v>High</x:v>
      </x:c>
      <x:c r="M44" s="43" t="str">
        <x:v>Medium</x:v>
      </x:c>
      <x:c r="N44" s="43" t="str">
        <x:v>Fixed-prosthodontic group fallback; Exact catalogue translation</x:v>
      </x:c>
    </x:row>
    <x:row r="45">
      <x:c r="A45" t="str">
        <x:v>5</x:v>
      </x:c>
      <x:c r="B45" t="str">
        <x:v>86094</x:v>
      </x:c>
      <x:c r="C45" t="str">
        <x:v>Ακίνητη Προσθετική</x:v>
      </x:c>
      <x:c r="D45" s="43" t="str">
        <x:v>Πρόβα Rohbrand</x:v>
      </x:c>
      <x:c r="E45" s="43" t="str">
        <x:v>Bisque-bake try-in</x:v>
      </x:c>
      <x:c r="F45" s="43" t="str">
        <x:v>Rohbrandeinprobe</x:v>
      </x:c>
      <x:c r="G45" s="43" t="str">
        <x:v>Whole tooth</x:v>
      </x:c>
      <x:c r="H45" s="43" t="str">
        <x:v>Single tooth</x:v>
      </x:c>
      <x:c r="I45" s="43" t="str">
        <x:v>none</x:v>
      </x:c>
      <x:c r="J45" s="43" t="str">
        <x:v>fixed-prosthetic</x:v>
      </x:c>
      <x:c r="K45" s="92" t="str">
        <x:v>#2E9D63</x:v>
      </x:c>
      <x:c r="L45" s="43" t="str">
        <x:v>High</x:v>
      </x:c>
      <x:c r="M45" s="43" t="str">
        <x:v>Medium</x:v>
      </x:c>
      <x:c r="N45" s="43" t="str">
        <x:v>Fixed-prosthodontic group fallback; Exact catalogue translation</x:v>
      </x:c>
    </x:row>
    <x:row r="46">
      <x:c r="A46" t="str">
        <x:v>5</x:v>
      </x:c>
      <x:c r="B46" t="str">
        <x:v>86210</x:v>
      </x:c>
      <x:c r="C46" t="str">
        <x:v>Ακίνητη Προσθετική</x:v>
      </x:c>
      <x:c r="D46" s="43" t="str">
        <x:v>προσω</x:v>
      </x:c>
      <x:c r="E46" s="43" t="str">
        <x:v>Temporary procedure (legacy shorthand)</x:v>
      </x:c>
      <x:c r="F46" s="43" t="str">
        <x:v>Provisorische Leistung (alte Kurzbezeichnung)</x:v>
      </x:c>
      <x:c r="G46" s="43" t="str">
        <x:v>Whole tooth</x:v>
      </x:c>
      <x:c r="H46" s="43" t="str">
        <x:v>Single tooth</x:v>
      </x:c>
      <x:c r="I46" s="43" t="str">
        <x:v>none</x:v>
      </x:c>
      <x:c r="J46" s="43" t="str">
        <x:v>fixed-prosthetic</x:v>
      </x:c>
      <x:c r="K46" s="92" t="str">
        <x:v>#2E9D63</x:v>
      </x:c>
      <x:c r="L46" s="43" t="str">
        <x:v>High</x:v>
      </x:c>
      <x:c r="M46" s="43" t="str">
        <x:v>Medium</x:v>
      </x:c>
      <x:c r="N46" s="43" t="str">
        <x:v>Fixed-prosthodontic group fallback; Exact catalogue translation</x:v>
      </x:c>
    </x:row>
    <x:row r="47">
      <x:c r="A47" t="str">
        <x:v>5</x:v>
      </x:c>
      <x:c r="B47" t="str">
        <x:v>86181</x:v>
      </x:c>
      <x:c r="C47" t="str">
        <x:v>Ακίνητη Προσθετική</x:v>
      </x:c>
      <x:c r="D47" s="43" t="str">
        <x:v>Στεφάνη ζιρκονίας/κεραμική πλ. χτιστή</x:v>
      </x:c>
      <x:c r="E47" s="43" t="str">
        <x:v>Zirconia crown with layered ceramic</x:v>
      </x:c>
      <x:c r="F47" s="43" t="str">
        <x:v>Zirkonoxidkrone mit geschichteter Keramik</x:v>
      </x:c>
      <x:c r="G47" s="43" t="str">
        <x:v>Whole tooth</x:v>
      </x:c>
      <x:c r="H47" s="43" t="str">
        <x:v>Single tooth</x:v>
      </x:c>
      <x:c r="I47" s="43" t="str">
        <x:v>crown</x:v>
      </x:c>
      <x:c r="J47" s="43" t="str">
        <x:v>crown</x:v>
      </x:c>
      <x:c r="K47" s="92" t="str">
        <x:v>#2E9D63</x:v>
      </x:c>
      <x:c r="L47" s="43" t="str">
        <x:v>Needs review</x:v>
      </x:c>
      <x:c r="M47" s="43" t="str">
        <x:v>High</x:v>
      </x:c>
      <x:c r="N47" s="43" t="str">
        <x:v>Crown/veneer keyword; The legacy abbreviation πλ. should be confirmed</x:v>
      </x:c>
    </x:row>
    <x:row r="48">
      <x:c r="A48" t="str">
        <x:v>5</x:v>
      </x:c>
      <x:c r="B48" t="str">
        <x:v>86169</x:v>
      </x:c>
      <x:c r="C48" t="str">
        <x:v>Ακίνητη Προσθετική</x:v>
      </x:c>
      <x:c r="D48" s="43" t="str">
        <x:v>Συγκόλληση άξονα</x:v>
      </x:c>
      <x:c r="E48" s="43" t="str">
        <x:v>Post cementation</x:v>
      </x:c>
      <x:c r="F48" s="43" t="str">
        <x:v>Stiftzementierung</x:v>
      </x:c>
      <x:c r="G48" s="43" t="str">
        <x:v>Whole tooth</x:v>
      </x:c>
      <x:c r="H48" s="43" t="str">
        <x:v>Single tooth</x:v>
      </x:c>
      <x:c r="I48" s="43" t="str">
        <x:v>none</x:v>
      </x:c>
      <x:c r="J48" s="43" t="str">
        <x:v>fixed-prosthetic</x:v>
      </x:c>
      <x:c r="K48" s="92" t="str">
        <x:v>#2E9D63</x:v>
      </x:c>
      <x:c r="L48" s="43" t="str">
        <x:v>High</x:v>
      </x:c>
      <x:c r="M48" s="43" t="str">
        <x:v>Medium</x:v>
      </x:c>
      <x:c r="N48" s="43" t="str">
        <x:v>Fixed-prosthodontic group fallback; Exact catalogue translation</x:v>
      </x:c>
    </x:row>
    <x:row r="49">
      <x:c r="A49" t="str">
        <x:v>5</x:v>
      </x:c>
      <x:c r="B49" t="str">
        <x:v>86153</x:v>
      </x:c>
      <x:c r="C49" t="str">
        <x:v>Ακίνητη Προσθετική</x:v>
      </x:c>
      <x:c r="D49" s="43" t="str">
        <x:v>Συγκόλληση με Variolink</x:v>
      </x:c>
      <x:c r="E49" s="43" t="str">
        <x:v>Cementation with Variolink</x:v>
      </x:c>
      <x:c r="F49" s="43" t="str">
        <x:v>Zementierung mit Variolink</x:v>
      </x:c>
      <x:c r="G49" s="43" t="str">
        <x:v>Whole tooth</x:v>
      </x:c>
      <x:c r="H49" s="43" t="str">
        <x:v>Single tooth</x:v>
      </x:c>
      <x:c r="I49" s="43" t="str">
        <x:v>none</x:v>
      </x:c>
      <x:c r="J49" s="43" t="str">
        <x:v>fixed-prosthetic</x:v>
      </x:c>
      <x:c r="K49" s="92" t="str">
        <x:v>#2E9D63</x:v>
      </x:c>
      <x:c r="L49" s="43" t="str">
        <x:v>High</x:v>
      </x:c>
      <x:c r="M49" s="43" t="str">
        <x:v>Medium</x:v>
      </x:c>
      <x:c r="N49" s="43" t="str">
        <x:v>Fixed-prosthodontic group fallback; source toothRequired=false conflicts with suggested target; Exact catalogue translation</x:v>
      </x:c>
    </x:row>
    <x:row r="50">
      <x:c r="A50" t="str">
        <x:v>5</x:v>
      </x:c>
      <x:c r="B50" t="str">
        <x:v>86188</x:v>
      </x:c>
      <x:c r="C50" t="str">
        <x:v>Ακίνητη Προσθετική</x:v>
      </x:c>
      <x:c r="D50" s="43" t="str">
        <x:v>Συγκόλληση με Variolink Esthetic</x:v>
      </x:c>
      <x:c r="E50" s="43" t="str">
        <x:v>Cementation with Variolink Esthetic</x:v>
      </x:c>
      <x:c r="F50" s="43" t="str">
        <x:v>Zementierung mit Variolink Esthetic</x:v>
      </x:c>
      <x:c r="G50" s="43" t="str">
        <x:v>Whole tooth</x:v>
      </x:c>
      <x:c r="H50" s="43" t="str">
        <x:v>Single tooth</x:v>
      </x:c>
      <x:c r="I50" s="43" t="str">
        <x:v>none</x:v>
      </x:c>
      <x:c r="J50" s="43" t="str">
        <x:v>fixed-prosthetic</x:v>
      </x:c>
      <x:c r="K50" s="92" t="str">
        <x:v>#2E9D63</x:v>
      </x:c>
      <x:c r="L50" s="43" t="str">
        <x:v>High</x:v>
      </x:c>
      <x:c r="M50" s="43" t="str">
        <x:v>Medium</x:v>
      </x:c>
      <x:c r="N50" s="43" t="str">
        <x:v>Fixed-prosthodontic group fallback; Exact catalogue translation</x:v>
      </x:c>
    </x:row>
    <x:row r="51">
      <x:c r="A51" t="str">
        <x:v>5</x:v>
      </x:c>
      <x:c r="B51" t="str">
        <x:v>86211</x:v>
      </x:c>
      <x:c r="C51" t="str">
        <x:v>Ακίνητη Προσθετική</x:v>
      </x:c>
      <x:c r="D51" s="43" t="str">
        <x:v>Συγκόλληση προσωρινή με κονία διπλ. πολυμ.</x:v>
      </x:c>
      <x:c r="E51" s="43" t="str">
        <x:v>Temporary cementation with dual-cure cement</x:v>
      </x:c>
      <x:c r="F51" s="43" t="str">
        <x:v>Provisorische Zementierung mit dualhärtendem Zement</x:v>
      </x:c>
      <x:c r="G51" s="43" t="str">
        <x:v>Whole tooth</x:v>
      </x:c>
      <x:c r="H51" s="43" t="str">
        <x:v>Single tooth</x:v>
      </x:c>
      <x:c r="I51" s="43" t="str">
        <x:v>none</x:v>
      </x:c>
      <x:c r="J51" s="43" t="str">
        <x:v>fixed-prosthetic</x:v>
      </x:c>
      <x:c r="K51" s="92" t="str">
        <x:v>#2E9D63</x:v>
      </x:c>
      <x:c r="L51" s="43" t="str">
        <x:v>Needs review</x:v>
      </x:c>
      <x:c r="M51" s="43" t="str">
        <x:v>Medium</x:v>
      </x:c>
      <x:c r="N51" s="43" t="str">
        <x:v>Fixed-prosthodontic group fallback; Legacy abbreviation for curing mode should be confirmed</x:v>
      </x:c>
    </x:row>
    <x:row r="52">
      <x:c r="A52" t="str">
        <x:v>5</x:v>
      </x:c>
      <x:c r="B52" t="str">
        <x:v>86123</x:v>
      </x:c>
      <x:c r="C52" t="str">
        <x:v>Ακίνητη Προσθετική</x:v>
      </x:c>
      <x:c r="D52" s="43" t="str">
        <x:v>Συγκόλληση προσωρινή με ZnO-Eu</x:v>
      </x:c>
      <x:c r="E52" s="43" t="str">
        <x:v>Temporary cementation with ZnO-Eu</x:v>
      </x:c>
      <x:c r="F52" s="43" t="str">
        <x:v>Provisorische Zementierung mit ZnO-Eu</x:v>
      </x:c>
      <x:c r="G52" s="43" t="str">
        <x:v>Whole tooth</x:v>
      </x:c>
      <x:c r="H52" s="43" t="str">
        <x:v>Single tooth</x:v>
      </x:c>
      <x:c r="I52" s="43" t="str">
        <x:v>none</x:v>
      </x:c>
      <x:c r="J52" s="43" t="str">
        <x:v>fixed-prosthetic</x:v>
      </x:c>
      <x:c r="K52" s="92" t="str">
        <x:v>#2E9D63</x:v>
      </x:c>
      <x:c r="L52" s="43" t="str">
        <x:v>Medium</x:v>
      </x:c>
      <x:c r="M52" s="43" t="str">
        <x:v>Medium</x:v>
      </x:c>
      <x:c r="N52" s="43" t="str">
        <x:v>Fixed-prosthodontic group fallback; Phrase-based clinical draft; language review recommended</x:v>
      </x:c>
    </x:row>
    <x:row r="53">
      <x:c r="A53" t="str">
        <x:v>5</x:v>
      </x:c>
      <x:c r="B53" t="str">
        <x:v>86124</x:v>
      </x:c>
      <x:c r="C53" t="str">
        <x:v>Ακίνητη Προσθετική</x:v>
      </x:c>
      <x:c r="D53" s="43" t="str">
        <x:v>Συγκόλληση προσωρινή με ZnO-Eu + Iodoform</x:v>
      </x:c>
      <x:c r="E53" s="43" t="str">
        <x:v>Temporary cementation with ZnO-Eu + Iodoform</x:v>
      </x:c>
      <x:c r="F53" s="43" t="str">
        <x:v>Provisorische Zementierung mit ZnO-Eu + Iodoform</x:v>
      </x:c>
      <x:c r="G53" s="43" t="str">
        <x:v>Whole tooth</x:v>
      </x:c>
      <x:c r="H53" s="43" t="str">
        <x:v>Single tooth</x:v>
      </x:c>
      <x:c r="I53" s="43" t="str">
        <x:v>none</x:v>
      </x:c>
      <x:c r="J53" s="43" t="str">
        <x:v>fixed-prosthetic</x:v>
      </x:c>
      <x:c r="K53" s="92" t="str">
        <x:v>#2E9D63</x:v>
      </x:c>
      <x:c r="L53" s="43" t="str">
        <x:v>Medium</x:v>
      </x:c>
      <x:c r="M53" s="43" t="str">
        <x:v>Medium</x:v>
      </x:c>
      <x:c r="N53" s="43" t="str">
        <x:v>Fixed-prosthodontic group fallback; Phrase-based clinical draft; language review recommended</x:v>
      </x:c>
    </x:row>
    <x:row r="54">
      <x:c r="A54" t="str">
        <x:v>5</x:v>
      </x:c>
      <x:c r="B54" t="str">
        <x:v>86096</x:v>
      </x:c>
      <x:c r="C54" t="str">
        <x:v>Ακίνητη Προσθετική</x:v>
      </x:c>
      <x:c r="D54" s="43" t="str">
        <x:v>Συγκόλληση στεφάνης/γέφυρας με οξυφωσφορική κονία</x:v>
      </x:c>
      <x:c r="E54" s="43" t="str">
        <x:v>Cementation of crown/bridge with zinc-phosphate cement</x:v>
      </x:c>
      <x:c r="F54" s="43" t="str">
        <x:v>Zementierung von Krone/Brücke mit Zinkphosphatzement</x:v>
      </x:c>
      <x:c r="G54" s="43" t="str">
        <x:v>Bridge</x:v>
      </x:c>
      <x:c r="H54" s="43" t="str">
        <x:v>Multi-tooth bridge units</x:v>
      </x:c>
      <x:c r="I54" s="43" t="str">
        <x:v>bridge</x:v>
      </x:c>
      <x:c r="J54" s="43" t="str">
        <x:v>bridge</x:v>
      </x:c>
      <x:c r="K54" s="92" t="str">
        <x:v>#2E9D63</x:v>
      </x:c>
      <x:c r="L54" s="43" t="str">
        <x:v>High</x:v>
      </x:c>
      <x:c r="M54" s="43" t="str">
        <x:v>Medium</x:v>
      </x:c>
      <x:c r="N54" s="43" t="str">
        <x:v>Bridge/pontic keyword; source toothRequired=false conflicts with suggested target; Exact catalogue translation</x:v>
      </x:c>
    </x:row>
    <x:row r="55">
      <x:c r="A55" t="str">
        <x:v>5</x:v>
      </x:c>
      <x:c r="B55" t="str">
        <x:v>86167</x:v>
      </x:c>
      <x:c r="C55" t="str">
        <x:v>Ακίνητη Προσθετική</x:v>
      </x:c>
      <x:c r="D55" s="43" t="str">
        <x:v>Συγκόλληση στεφάνης/γέφυρας με ρητινώδη κονία</x:v>
      </x:c>
      <x:c r="E55" s="43" t="str">
        <x:v>Cementation of crown/bridge with resin cement</x:v>
      </x:c>
      <x:c r="F55" s="43" t="str">
        <x:v>Zementierung von Krone/Brücke mit Kompositzement</x:v>
      </x:c>
      <x:c r="G55" s="43" t="str">
        <x:v>Bridge</x:v>
      </x:c>
      <x:c r="H55" s="43" t="str">
        <x:v>Multi-tooth bridge units</x:v>
      </x:c>
      <x:c r="I55" s="43" t="str">
        <x:v>bridge</x:v>
      </x:c>
      <x:c r="J55" s="43" t="str">
        <x:v>bridge</x:v>
      </x:c>
      <x:c r="K55" s="92" t="str">
        <x:v>#2E9D63</x:v>
      </x:c>
      <x:c r="L55" s="43" t="str">
        <x:v>High</x:v>
      </x:c>
      <x:c r="M55" s="43" t="str">
        <x:v>Medium</x:v>
      </x:c>
      <x:c r="N55" s="43" t="str">
        <x:v>Bridge/pontic keyword; source toothRequired=false conflicts with suggested target; Exact catalogue translation</x:v>
      </x:c>
    </x:row>
    <x:row r="56">
      <x:c r="A56" t="str">
        <x:v>5</x:v>
      </x:c>
      <x:c r="B56" t="str">
        <x:v>86095</x:v>
      </x:c>
      <x:c r="C56" t="str">
        <x:v>Ακίνητη Προσθετική</x:v>
      </x:c>
      <x:c r="D56" s="43" t="str">
        <x:v>Συγκόλληση στεφάνης/γέφυρας με Durelon</x:v>
      </x:c>
      <x:c r="E56" s="43" t="str">
        <x:v>Cementation of crown/bridge with Durelon</x:v>
      </x:c>
      <x:c r="F56" s="43" t="str">
        <x:v>Zementierung von Krone/Brücke mit Durelon</x:v>
      </x:c>
      <x:c r="G56" s="43" t="str">
        <x:v>Bridge</x:v>
      </x:c>
      <x:c r="H56" s="43" t="str">
        <x:v>Multi-tooth bridge units</x:v>
      </x:c>
      <x:c r="I56" s="43" t="str">
        <x:v>bridge</x:v>
      </x:c>
      <x:c r="J56" s="43" t="str">
        <x:v>bridge</x:v>
      </x:c>
      <x:c r="K56" s="92" t="str">
        <x:v>#2E9D63</x:v>
      </x:c>
      <x:c r="L56" s="43" t="str">
        <x:v>Medium</x:v>
      </x:c>
      <x:c r="M56" s="43" t="str">
        <x:v>Medium</x:v>
      </x:c>
      <x:c r="N56" s="43" t="str">
        <x:v>Bridge/pontic keyword; source toothRequired=false conflicts with suggested target; Phrase-based clinical draft; language review recommended</x:v>
      </x:c>
    </x:row>
    <x:row r="57">
      <x:c r="A57" t="str">
        <x:v>5</x:v>
      </x:c>
      <x:c r="B57" t="str">
        <x:v>86097</x:v>
      </x:c>
      <x:c r="C57" t="str">
        <x:v>Ακίνητη Προσθετική</x:v>
      </x:c>
      <x:c r="D57" s="43" t="str">
        <x:v>Συγκόλληση στεφάνης/γέφυρας με Panavia f 2.0</x:v>
      </x:c>
      <x:c r="E57" s="43" t="str">
        <x:v>Cementation of crown/bridge with Panavia f 2.0</x:v>
      </x:c>
      <x:c r="F57" s="43" t="str">
        <x:v>Zementierung von Krone/Brücke mit Panavia f 2.0</x:v>
      </x:c>
      <x:c r="G57" s="43" t="str">
        <x:v>Bridge</x:v>
      </x:c>
      <x:c r="H57" s="43" t="str">
        <x:v>Multi-tooth bridge units</x:v>
      </x:c>
      <x:c r="I57" s="43" t="str">
        <x:v>bridge</x:v>
      </x:c>
      <x:c r="J57" s="43" t="str">
        <x:v>bridge</x:v>
      </x:c>
      <x:c r="K57" s="92" t="str">
        <x:v>#2E9D63</x:v>
      </x:c>
      <x:c r="L57" s="43" t="str">
        <x:v>Medium</x:v>
      </x:c>
      <x:c r="M57" s="43" t="str">
        <x:v>Medium</x:v>
      </x:c>
      <x:c r="N57" s="43" t="str">
        <x:v>Bridge/pontic keyword; source toothRequired=false conflicts with suggested target; Phrase-based clinical draft; language review recommended</x:v>
      </x:c>
    </x:row>
    <x:row r="58">
      <x:c r="A58" t="str">
        <x:v>5</x:v>
      </x:c>
      <x:c r="B58" t="str">
        <x:v>86202</x:v>
      </x:c>
      <x:c r="C58" t="str">
        <x:v>Ακίνητη Προσθετική</x:v>
      </x:c>
      <x:c r="D58" s="43" t="str">
        <x:v>Σύνδεσμος ακριβείας CEKA</x:v>
      </x:c>
      <x:c r="E58" s="43" t="str">
        <x:v>CEKA precision attachment</x:v>
      </x:c>
      <x:c r="F58" s="43" t="str">
        <x:v>CEKA-Präzisionsgeschiebe</x:v>
      </x:c>
      <x:c r="G58" s="43" t="str">
        <x:v>Whole tooth</x:v>
      </x:c>
      <x:c r="H58" s="43" t="str">
        <x:v>Single tooth</x:v>
      </x:c>
      <x:c r="I58" s="43" t="str">
        <x:v>none</x:v>
      </x:c>
      <x:c r="J58" s="43" t="str">
        <x:v>fixed-prosthetic</x:v>
      </x:c>
      <x:c r="K58" s="92" t="str">
        <x:v>#2E9D63</x:v>
      </x:c>
      <x:c r="L58" s="43" t="str">
        <x:v>High</x:v>
      </x:c>
      <x:c r="M58" s="43" t="str">
        <x:v>Medium</x:v>
      </x:c>
      <x:c r="N58" s="43" t="str">
        <x:v>Fixed-prosthodontic group fallback; Exact catalogue translation</x:v>
      </x:c>
    </x:row>
    <x:row r="59">
      <x:c r="A59" t="str">
        <x:v>5</x:v>
      </x:c>
      <x:c r="B59" t="str">
        <x:v>5056</x:v>
      </x:c>
      <x:c r="C59" t="str">
        <x:v>Ακίνητη Προσθετική</x:v>
      </x:c>
      <x:c r="D59" s="43" t="str">
        <x:v>ΣΥΝΔΕΣΜΟΣ ΑΚΡΙΒΕΙΑΣ CHEKA</x:v>
      </x:c>
      <x:c r="E59" s="43" t="str">
        <x:v>CEKA precision attachment</x:v>
      </x:c>
      <x:c r="F59" s="43" t="str">
        <x:v>CEKA-Präzisionsgeschiebe</x:v>
      </x:c>
      <x:c r="G59" s="43" t="str">
        <x:v>Whole tooth</x:v>
      </x:c>
      <x:c r="H59" s="43" t="str">
        <x:v>Single tooth</x:v>
      </x:c>
      <x:c r="I59" s="43" t="str">
        <x:v>none</x:v>
      </x:c>
      <x:c r="J59" s="43" t="str">
        <x:v>fixed-prosthetic</x:v>
      </x:c>
      <x:c r="K59" s="92" t="str">
        <x:v>#2E9D63</x:v>
      </x:c>
      <x:c r="L59" s="43" t="str">
        <x:v>High</x:v>
      </x:c>
      <x:c r="M59" s="43" t="str">
        <x:v>Medium</x:v>
      </x:c>
      <x:c r="N59" s="43" t="str">
        <x:v>Fixed-prosthodontic group fallback; Exact catalogue translation</x:v>
      </x:c>
    </x:row>
    <x:row r="60">
      <x:c r="A60" t="str">
        <x:v>5</x:v>
      </x:c>
      <x:c r="B60" t="str">
        <x:v>86111</x:v>
      </x:c>
      <x:c r="C60" t="str">
        <x:v>Ακίνητη Προσθετική</x:v>
      </x:c>
      <x:c r="D60" s="43" t="str">
        <x:v>Σύνδεσμος ακριβείας ZL</x:v>
      </x:c>
      <x:c r="E60" s="43" t="str">
        <x:v>ZL precision attachment</x:v>
      </x:c>
      <x:c r="F60" s="43" t="str">
        <x:v>ZL-Präzisionsgeschiebe</x:v>
      </x:c>
      <x:c r="G60" s="43" t="str">
        <x:v>Whole tooth</x:v>
      </x:c>
      <x:c r="H60" s="43" t="str">
        <x:v>Single tooth</x:v>
      </x:c>
      <x:c r="I60" s="43" t="str">
        <x:v>none</x:v>
      </x:c>
      <x:c r="J60" s="43" t="str">
        <x:v>fixed-prosthetic</x:v>
      </x:c>
      <x:c r="K60" s="92" t="str">
        <x:v>#2E9D63</x:v>
      </x:c>
      <x:c r="L60" s="43" t="str">
        <x:v>High</x:v>
      </x:c>
      <x:c r="M60" s="43" t="str">
        <x:v>Medium</x:v>
      </x:c>
      <x:c r="N60" s="43" t="str">
        <x:v>Fixed-prosthodontic group fallback; Exact catalogue translation</x:v>
      </x:c>
    </x:row>
    <x:row r="61">
      <x:c r="A61" t="str">
        <x:v>5</x:v>
      </x:c>
      <x:c r="B61" t="str">
        <x:v>86222</x:v>
      </x:c>
      <x:c r="C61" t="str">
        <x:v>Ακίνητη Προσθετική</x:v>
      </x:c>
      <x:c r="D61" s="43" t="str">
        <x:v>Σύνδεσμος ημιακριβείας</x:v>
      </x:c>
      <x:c r="E61" s="43" t="str">
        <x:v>Semi-precision attachment</x:v>
      </x:c>
      <x:c r="F61" s="43" t="str">
        <x:v>Semipräzisionsgeschiebe</x:v>
      </x:c>
      <x:c r="G61" s="43" t="str">
        <x:v>Whole tooth</x:v>
      </x:c>
      <x:c r="H61" s="43" t="str">
        <x:v>Single tooth</x:v>
      </x:c>
      <x:c r="I61" s="43" t="str">
        <x:v>none</x:v>
      </x:c>
      <x:c r="J61" s="43" t="str">
        <x:v>fixed-prosthetic</x:v>
      </x:c>
      <x:c r="K61" s="92" t="str">
        <x:v>#2E9D63</x:v>
      </x:c>
      <x:c r="L61" s="43" t="str">
        <x:v>High</x:v>
      </x:c>
      <x:c r="M61" s="43" t="str">
        <x:v>Medium</x:v>
      </x:c>
      <x:c r="N61" s="43" t="str">
        <x:v>Fixed-prosthodontic group fallback; Exact catalogue translation</x:v>
      </x:c>
    </x:row>
    <x:row r="62">
      <x:c r="A62" t="str">
        <x:v>5</x:v>
      </x:c>
      <x:c r="B62" t="str">
        <x:v>86218</x:v>
      </x:c>
      <x:c r="C62" t="str">
        <x:v>Ακίνητη Προσθετική</x:v>
      </x:c>
      <x:c r="D62" s="43" t="str">
        <x:v>Ball Abutment Rhein</x:v>
      </x:c>
      <x:c r="E62" s="43" t="str">
        <x:v>Ball Abutment Rhein</x:v>
      </x:c>
      <x:c r="F62" s="43" t="str">
        <x:v>Ball Abutment Rhein</x:v>
      </x:c>
      <x:c r="G62" s="43" t="str">
        <x:v>Whole tooth</x:v>
      </x:c>
      <x:c r="H62" s="43" t="str">
        <x:v>Single tooth</x:v>
      </x:c>
      <x:c r="I62" s="43" t="str">
        <x:v>none</x:v>
      </x:c>
      <x:c r="J62" s="43" t="str">
        <x:v>fixed-prosthetic</x:v>
      </x:c>
      <x:c r="K62" s="92" t="str">
        <x:v>#2E9D63</x:v>
      </x:c>
      <x:c r="L62" s="43" t="str">
        <x:v>High</x:v>
      </x:c>
      <x:c r="M62" s="43" t="str">
        <x:v>Medium</x:v>
      </x:c>
      <x:c r="N62" s="43" t="str">
        <x:v>Fixed-prosthodontic group fallback; Existing English/German or trade name preserved</x:v>
      </x:c>
    </x:row>
    <x:row r="63">
      <x:c r="A63" t="str">
        <x:v>5</x:v>
      </x:c>
      <x:c r="B63" t="str">
        <x:v>86217</x:v>
      </x:c>
      <x:c r="C63" t="str">
        <x:v>Ακίνητη Προσθετική</x:v>
      </x:c>
      <x:c r="D63" s="43" t="str">
        <x:v>OTequator Rhein</x:v>
      </x:c>
      <x:c r="E63" s="43" t="str">
        <x:v>OTequator Rhein</x:v>
      </x:c>
      <x:c r="F63" s="43" t="str">
        <x:v>OTequator Rhein</x:v>
      </x:c>
      <x:c r="G63" s="43" t="str">
        <x:v>Whole tooth</x:v>
      </x:c>
      <x:c r="H63" s="43" t="str">
        <x:v>Single tooth</x:v>
      </x:c>
      <x:c r="I63" s="43" t="str">
        <x:v>none</x:v>
      </x:c>
      <x:c r="J63" s="43" t="str">
        <x:v>fixed-prosthetic</x:v>
      </x:c>
      <x:c r="K63" s="92" t="str">
        <x:v>#2E9D63</x:v>
      </x:c>
      <x:c r="L63" s="43" t="str">
        <x:v>High</x:v>
      </x:c>
      <x:c r="M63" s="43" t="str">
        <x:v>Medium</x:v>
      </x:c>
      <x:c r="N63" s="43" t="str">
        <x:v>Fixed-prosthodontic group fallback; Existing English/German or trade name preserved</x:v>
      </x:c>
    </x:row>
    <x:row r="64">
      <x:c r="A64" t="str">
        <x:v>9</x:v>
      </x:c>
      <x:c r="B64" t="str">
        <x:v>4981</x:v>
      </x:c>
      <x:c r="C64" t="str">
        <x:v>Περιοδοντολογία</x:v>
      </x:c>
      <x:c r="D64" s="43" t="str">
        <x:v>ΑΠΟΚΑΛΥΨΗ ΚΛΙΝΙΚΗΣ ΜΥΛΗΣ</x:v>
      </x:c>
      <x:c r="E64" s="43" t="str">
        <x:v>Clinical crown exposure</x:v>
      </x:c>
      <x:c r="F64" s="43" t="str">
        <x:v>Freilegung der klinischen Krone</x:v>
      </x:c>
      <x:c r="G64" s="43" t="str">
        <x:v>Patient-level / history only</x:v>
      </x:c>
      <x:c r="H64" s="43" t="str">
        <x:v>Patient / quadrant / periodontal chart</x:v>
      </x:c>
      <x:c r="I64" s="43" t="str">
        <x:v>none</x:v>
      </x:c>
      <x:c r="J64" s="43" t="str">
        <x:v>periodontal</x:v>
      </x:c>
      <x:c r="K64" s="94" t="str">
        <x:v>#B34FA2</x:v>
      </x:c>
      <x:c r="L64" s="43" t="str">
        <x:v>High</x:v>
      </x:c>
      <x:c r="M64" s="43" t="str">
        <x:v>Medium</x:v>
      </x:c>
      <x:c r="N64" s="43" t="str">
        <x:v>Periodontology group; exact target varies; Exact catalogue translation</x:v>
      </x:c>
    </x:row>
    <x:row r="65">
      <x:c r="A65" t="str">
        <x:v>9</x:v>
      </x:c>
      <x:c r="B65" t="str">
        <x:v>86114</x:v>
      </x:c>
      <x:c r="C65" t="str">
        <x:v>Περιοδοντολογία</x:v>
      </x:c>
      <x:c r="D65" s="43" t="str">
        <x:v>Απόξεση οδόντος</x:v>
      </x:c>
      <x:c r="E65" s="43" t="str">
        <x:v>Scaling/root planing of tooth</x:v>
      </x:c>
      <x:c r="F65" s="43" t="str">
        <x:v>Scaling/Wurzelglättung am Zahn</x:v>
      </x:c>
      <x:c r="G65" s="43" t="str">
        <x:v>Patient-level / history only</x:v>
      </x:c>
      <x:c r="H65" s="43" t="str">
        <x:v>Patient / quadrant / periodontal chart</x:v>
      </x:c>
      <x:c r="I65" s="43" t="str">
        <x:v>none</x:v>
      </x:c>
      <x:c r="J65" s="43" t="str">
        <x:v>periodontal</x:v>
      </x:c>
      <x:c r="K65" s="94" t="str">
        <x:v>#B34FA2</x:v>
      </x:c>
      <x:c r="L65" s="43" t="str">
        <x:v>High</x:v>
      </x:c>
      <x:c r="M65" s="43" t="str">
        <x:v>Medium</x:v>
      </x:c>
      <x:c r="N65" s="43" t="str">
        <x:v>Periodontology group; exact target varies; Exact catalogue translation</x:v>
      </x:c>
    </x:row>
    <x:row r="66">
      <x:c r="A66" t="str">
        <x:v>9</x:v>
      </x:c>
      <x:c r="B66" t="str">
        <x:v>86090</x:v>
      </x:c>
      <x:c r="C66" t="str">
        <x:v>Περιοδοντολογία</x:v>
      </x:c>
      <x:c r="D66" s="43" t="str">
        <x:v>Θεραπεία γεν. περιοδοντίτιδας</x:v>
      </x:c>
      <x:c r="E66" s="43" t="str">
        <x:v>Treatment of generalized periodontitis</x:v>
      </x:c>
      <x:c r="F66" s="43" t="str">
        <x:v>Behandlung der generalisierten Parodontitis</x:v>
      </x:c>
      <x:c r="G66" s="43" t="str">
        <x:v>Patient-level / history only</x:v>
      </x:c>
      <x:c r="H66" s="43" t="str">
        <x:v>Patient / quadrant / periodontal chart</x:v>
      </x:c>
      <x:c r="I66" s="43" t="str">
        <x:v>none</x:v>
      </x:c>
      <x:c r="J66" s="43" t="str">
        <x:v>periodontal</x:v>
      </x:c>
      <x:c r="K66" s="94" t="str">
        <x:v>#B34FA2</x:v>
      </x:c>
      <x:c r="L66" s="43" t="str">
        <x:v>Needs review</x:v>
      </x:c>
      <x:c r="M66" s="43" t="str">
        <x:v>Medium</x:v>
      </x:c>
      <x:c r="N66" s="43" t="str">
        <x:v>Periodontology group; exact target varies; Legacy abbreviation γεν. should be confirmed</x:v>
      </x:c>
    </x:row>
    <x:row r="67">
      <x:c r="A67" t="str">
        <x:v>9</x:v>
      </x:c>
      <x:c r="B67" t="str">
        <x:v>5009</x:v>
      </x:c>
      <x:c r="C67" t="str">
        <x:v>Περιοδοντολογία</x:v>
      </x:c>
      <x:c r="D67" s="43" t="str">
        <x:v>ΘΕΡΑΠΕΙΑ ΓΕΝΙΚΕΥΜΕΝΗΣ ΧΡ.ΟΥΛΙ</x:v>
      </x:c>
      <x:c r="E67" s="43" t="str">
        <x:v>Treatment of generalized chronic gingivitis</x:v>
      </x:c>
      <x:c r="F67" s="43" t="str">
        <x:v>Behandlung der generalisierten chronischen Gingivitis</x:v>
      </x:c>
      <x:c r="G67" s="43" t="str">
        <x:v>Patient-level / history only</x:v>
      </x:c>
      <x:c r="H67" s="43" t="str">
        <x:v>Patient / quadrant / periodontal chart</x:v>
      </x:c>
      <x:c r="I67" s="43" t="str">
        <x:v>none</x:v>
      </x:c>
      <x:c r="J67" s="43" t="str">
        <x:v>periodontal</x:v>
      </x:c>
      <x:c r="K67" s="94" t="str">
        <x:v>#B34FA2</x:v>
      </x:c>
      <x:c r="L67" s="43" t="str">
        <x:v>High</x:v>
      </x:c>
      <x:c r="M67" s="43" t="str">
        <x:v>Medium</x:v>
      </x:c>
      <x:c r="N67" s="43" t="str">
        <x:v>Periodontology group; exact target varies; Exact catalogue translation</x:v>
      </x:c>
    </x:row>
    <x:row r="68">
      <x:c r="A68" t="str">
        <x:v>9</x:v>
      </x:c>
      <x:c r="B68" t="str">
        <x:v>5007</x:v>
      </x:c>
      <x:c r="C68" t="str">
        <x:v>Περιοδοντολογία</x:v>
      </x:c>
      <x:c r="D68" s="43" t="str">
        <x:v>ΘΕΡΑΠΕΙΑ ΕΝΤΟΠΙΣΜΕΝΗΣ ΟΥΛΙΤΙΔΑ</x:v>
      </x:c>
      <x:c r="E68" s="43" t="str">
        <x:v>Treatment of localized gingivitis</x:v>
      </x:c>
      <x:c r="F68" s="43" t="str">
        <x:v>Behandlung der lokalisierten Gingivitis</x:v>
      </x:c>
      <x:c r="G68" s="43" t="str">
        <x:v>Patient-level / history only</x:v>
      </x:c>
      <x:c r="H68" s="43" t="str">
        <x:v>Patient / quadrant / periodontal chart</x:v>
      </x:c>
      <x:c r="I68" s="43" t="str">
        <x:v>none</x:v>
      </x:c>
      <x:c r="J68" s="43" t="str">
        <x:v>periodontal</x:v>
      </x:c>
      <x:c r="K68" s="94" t="str">
        <x:v>#B34FA2</x:v>
      </x:c>
      <x:c r="L68" s="43" t="str">
        <x:v>High</x:v>
      </x:c>
      <x:c r="M68" s="43" t="str">
        <x:v>Medium</x:v>
      </x:c>
      <x:c r="N68" s="43" t="str">
        <x:v>Periodontology group; exact target varies; Exact catalogue translation</x:v>
      </x:c>
    </x:row>
    <x:row r="69">
      <x:c r="A69" t="str">
        <x:v>9</x:v>
      </x:c>
      <x:c r="B69" t="str">
        <x:v>5008</x:v>
      </x:c>
      <x:c r="C69" t="str">
        <x:v>Περιοδοντολογία</x:v>
      </x:c>
      <x:c r="D69" s="43" t="str">
        <x:v>ΘΕΡΑΠΕΙΑ ΟΥΛΙΤΙΔΟΣ</x:v>
      </x:c>
      <x:c r="E69" s="43" t="str">
        <x:v>Gingivitis treatment</x:v>
      </x:c>
      <x:c r="F69" s="43" t="str">
        <x:v>Gingivitisbehandlung</x:v>
      </x:c>
      <x:c r="G69" s="43" t="str">
        <x:v>Patient-level / history only</x:v>
      </x:c>
      <x:c r="H69" s="43" t="str">
        <x:v>Patient / quadrant / periodontal chart</x:v>
      </x:c>
      <x:c r="I69" s="43" t="str">
        <x:v>none</x:v>
      </x:c>
      <x:c r="J69" s="43" t="str">
        <x:v>periodontal</x:v>
      </x:c>
      <x:c r="K69" s="94" t="str">
        <x:v>#B34FA2</x:v>
      </x:c>
      <x:c r="L69" s="43" t="str">
        <x:v>High</x:v>
      </x:c>
      <x:c r="M69" s="43" t="str">
        <x:v>Medium</x:v>
      </x:c>
      <x:c r="N69" s="43" t="str">
        <x:v>Periodontology group; exact target varies; Exact catalogue translation</x:v>
      </x:c>
    </x:row>
    <x:row r="70">
      <x:c r="A70" t="str">
        <x:v>9</x:v>
      </x:c>
      <x:c r="B70" t="str">
        <x:v>5012</x:v>
      </x:c>
      <x:c r="C70" t="str">
        <x:v>Περιοδοντολογία</x:v>
      </x:c>
      <x:c r="D70" s="43" t="str">
        <x:v>ΘΕΡΑΠΕΙΑ ΧΕΙΡ. ΠΕΡΙΟΔΟΝΤ. Α ΤΕ</x:v>
      </x:c>
      <x:c r="E70" s="43" t="str">
        <x:v>Periodontal surgical treatment (legacy abbreviation)</x:v>
      </x:c>
      <x:c r="F70" s="43" t="str">
        <x:v>Parodontalchirurgische Behandlung (alte Kurzbezeichnung)</x:v>
      </x:c>
      <x:c r="G70" s="43" t="str">
        <x:v>Patient-level / history only</x:v>
      </x:c>
      <x:c r="H70" s="43" t="str">
        <x:v>Patient / quadrant / periodontal chart</x:v>
      </x:c>
      <x:c r="I70" s="43" t="str">
        <x:v>none</x:v>
      </x:c>
      <x:c r="J70" s="43" t="str">
        <x:v>periodontal</x:v>
      </x:c>
      <x:c r="K70" s="94" t="str">
        <x:v>#B34FA2</x:v>
      </x:c>
      <x:c r="L70" s="43" t="str">
        <x:v>High</x:v>
      </x:c>
      <x:c r="M70" s="43" t="str">
        <x:v>Medium</x:v>
      </x:c>
      <x:c r="N70" s="43" t="str">
        <x:v>Periodontology group; exact target varies; Exact catalogue translation</x:v>
      </x:c>
    </x:row>
    <x:row r="71">
      <x:c r="A71" t="str">
        <x:v>9</x:v>
      </x:c>
      <x:c r="B71" t="str">
        <x:v>86112</x:v>
      </x:c>
      <x:c r="C71" t="str">
        <x:v>Περιοδοντολογία</x:v>
      </x:c>
      <x:c r="D71" s="43" t="str">
        <x:v>Μέτρηση / Περιοδοντόγραμμα</x:v>
      </x:c>
      <x:c r="E71" s="43" t="str">
        <x:v>Periodontal charting</x:v>
      </x:c>
      <x:c r="F71" s="43" t="str">
        <x:v>Parodontalstatus</x:v>
      </x:c>
      <x:c r="G71" s="43" t="str">
        <x:v>Patient-level / history only</x:v>
      </x:c>
      <x:c r="H71" s="43" t="str">
        <x:v>Patient / quadrant / periodontal chart</x:v>
      </x:c>
      <x:c r="I71" s="43" t="str">
        <x:v>none</x:v>
      </x:c>
      <x:c r="J71" s="43" t="str">
        <x:v>periodontal</x:v>
      </x:c>
      <x:c r="K71" s="94" t="str">
        <x:v>#B34FA2</x:v>
      </x:c>
      <x:c r="L71" s="43" t="str">
        <x:v>Medium</x:v>
      </x:c>
      <x:c r="M71" s="43" t="str">
        <x:v>Medium</x:v>
      </x:c>
      <x:c r="N71" s="43" t="str">
        <x:v>Periodontology group; exact target varies; Phrase-based clinical draft; language review recommended</x:v>
      </x:c>
    </x:row>
    <x:row r="72">
      <x:c r="A72" t="str">
        <x:v>9</x:v>
      </x:c>
      <x:c r="B72" t="str">
        <x:v>5018</x:v>
      </x:c>
      <x:c r="C72" t="str">
        <x:v>Περιοδοντολογία</x:v>
      </x:c>
      <x:c r="D72" s="43" t="str">
        <x:v>ΜΟΣΧΕΥΜΑΤΑ</x:v>
      </x:c>
      <x:c r="E72" s="43" t="str">
        <x:v>Grafts</x:v>
      </x:c>
      <x:c r="F72" s="43" t="str">
        <x:v>Transplantate</x:v>
      </x:c>
      <x:c r="G72" s="43" t="str">
        <x:v>Patient-level / history only</x:v>
      </x:c>
      <x:c r="H72" s="43" t="str">
        <x:v>Patient / quadrant / periodontal chart</x:v>
      </x:c>
      <x:c r="I72" s="43" t="str">
        <x:v>none</x:v>
      </x:c>
      <x:c r="J72" s="43" t="str">
        <x:v>periodontal</x:v>
      </x:c>
      <x:c r="K72" s="94" t="str">
        <x:v>#B34FA2</x:v>
      </x:c>
      <x:c r="L72" s="43" t="str">
        <x:v>High</x:v>
      </x:c>
      <x:c r="M72" s="43" t="str">
        <x:v>Medium</x:v>
      </x:c>
      <x:c r="N72" s="43" t="str">
        <x:v>Periodontology group; exact target varies; Exact catalogue translation</x:v>
      </x:c>
    </x:row>
    <x:row r="73">
      <x:c r="A73" t="str">
        <x:v>9</x:v>
      </x:c>
      <x:c r="B73" t="str">
        <x:v>5011</x:v>
      </x:c>
      <x:c r="C73" t="str">
        <x:v>Περιοδοντολογία</x:v>
      </x:c>
      <x:c r="D73" s="43" t="str">
        <x:v>Ναρθηκοποίηση</x:v>
      </x:c>
      <x:c r="E73" s="43" t="str">
        <x:v>Splinting</x:v>
      </x:c>
      <x:c r="F73" s="43" t="str">
        <x:v>Schienung</x:v>
      </x:c>
      <x:c r="G73" s="43" t="str">
        <x:v>Patient-level / history only</x:v>
      </x:c>
      <x:c r="H73" s="43" t="str">
        <x:v>Patient / quadrant / periodontal chart</x:v>
      </x:c>
      <x:c r="I73" s="43" t="str">
        <x:v>none</x:v>
      </x:c>
      <x:c r="J73" s="43" t="str">
        <x:v>periodontal</x:v>
      </x:c>
      <x:c r="K73" s="94" t="str">
        <x:v>#B34FA2</x:v>
      </x:c>
      <x:c r="L73" s="43" t="str">
        <x:v>Medium</x:v>
      </x:c>
      <x:c r="M73" s="43" t="str">
        <x:v>Medium</x:v>
      </x:c>
      <x:c r="N73" s="43" t="str">
        <x:v>Periodontology group; exact target varies; Phrase-based clinical draft; language review recommended</x:v>
      </x:c>
    </x:row>
    <x:row r="74">
      <x:c r="A74" t="str">
        <x:v>9</x:v>
      </x:c>
      <x:c r="B74" t="str">
        <x:v>5026</x:v>
      </x:c>
      <x:c r="C74" t="str">
        <x:v>Περιοδοντολογία</x:v>
      </x:c>
      <x:c r="D74" s="43" t="str">
        <x:v>ΟΥΛΕΚΤΟΜΗ</x:v>
      </x:c>
      <x:c r="E74" s="43" t="str">
        <x:v>Gingivectomy</x:v>
      </x:c>
      <x:c r="F74" s="43" t="str">
        <x:v>Gingivektomie</x:v>
      </x:c>
      <x:c r="G74" s="43" t="str">
        <x:v>Patient-level / history only</x:v>
      </x:c>
      <x:c r="H74" s="43" t="str">
        <x:v>Patient / quadrant / periodontal chart</x:v>
      </x:c>
      <x:c r="I74" s="43" t="str">
        <x:v>none</x:v>
      </x:c>
      <x:c r="J74" s="43" t="str">
        <x:v>periodontal</x:v>
      </x:c>
      <x:c r="K74" s="94" t="str">
        <x:v>#B34FA2</x:v>
      </x:c>
      <x:c r="L74" s="43" t="str">
        <x:v>High</x:v>
      </x:c>
      <x:c r="M74" s="43" t="str">
        <x:v>Medium</x:v>
      </x:c>
      <x:c r="N74" s="43" t="str">
        <x:v>Periodontology group; exact target varies; Exact catalogue translation</x:v>
      </x:c>
    </x:row>
    <x:row r="75">
      <x:c r="A75" t="str">
        <x:v>9</x:v>
      </x:c>
      <x:c r="B75" t="str">
        <x:v>5028</x:v>
      </x:c>
      <x:c r="C75" t="str">
        <x:v>Περιοδοντολογία</x:v>
      </x:c>
      <x:c r="D75" s="43" t="str">
        <x:v>ΠΕΡΙΟΔΟΝΤΙΤΙΔΑ ΑΡΧΟΜΕΝΗ</x:v>
      </x:c>
      <x:c r="E75" s="43" t="str">
        <x:v>Early periodontitis</x:v>
      </x:c>
      <x:c r="F75" s="43" t="str">
        <x:v>Beginnende Parodontitis</x:v>
      </x:c>
      <x:c r="G75" s="43" t="str">
        <x:v>Patient-level / history only</x:v>
      </x:c>
      <x:c r="H75" s="43" t="str">
        <x:v>Patient / quadrant / periodontal chart</x:v>
      </x:c>
      <x:c r="I75" s="43" t="str">
        <x:v>none</x:v>
      </x:c>
      <x:c r="J75" s="43" t="str">
        <x:v>periodontal</x:v>
      </x:c>
      <x:c r="K75" s="94" t="str">
        <x:v>#B34FA2</x:v>
      </x:c>
      <x:c r="L75" s="43" t="str">
        <x:v>High</x:v>
      </x:c>
      <x:c r="M75" s="43" t="str">
        <x:v>Medium</x:v>
      </x:c>
      <x:c r="N75" s="43" t="str">
        <x:v>Periodontology group; exact target varies; Exact catalogue translation</x:v>
      </x:c>
    </x:row>
    <x:row r="76">
      <x:c r="A76" t="str">
        <x:v>9</x:v>
      </x:c>
      <x:c r="B76" t="str">
        <x:v>5029</x:v>
      </x:c>
      <x:c r="C76" t="str">
        <x:v>Περιοδοντολογία</x:v>
      </x:c>
      <x:c r="D76" s="43" t="str">
        <x:v>ΠΕΡΙΟΔΟΝΤΙΤΙΔΑ ΜΕΤΡΙΑΣ ΒΑΡΥΤΗΤΑΣ</x:v>
      </x:c>
      <x:c r="E76" s="43" t="str">
        <x:v>Moderate periodontitis</x:v>
      </x:c>
      <x:c r="F76" s="43" t="str">
        <x:v>Mittelschwere Parodontitis</x:v>
      </x:c>
      <x:c r="G76" s="43" t="str">
        <x:v>Patient-level / history only</x:v>
      </x:c>
      <x:c r="H76" s="43" t="str">
        <x:v>Patient / quadrant / periodontal chart</x:v>
      </x:c>
      <x:c r="I76" s="43" t="str">
        <x:v>none</x:v>
      </x:c>
      <x:c r="J76" s="43" t="str">
        <x:v>periodontal</x:v>
      </x:c>
      <x:c r="K76" s="94" t="str">
        <x:v>#B34FA2</x:v>
      </x:c>
      <x:c r="L76" s="43" t="str">
        <x:v>High</x:v>
      </x:c>
      <x:c r="M76" s="43" t="str">
        <x:v>Medium</x:v>
      </x:c>
      <x:c r="N76" s="43" t="str">
        <x:v>Periodontology group; exact target varies; Exact catalogue translation</x:v>
      </x:c>
    </x:row>
    <x:row r="77">
      <x:c r="A77" t="str">
        <x:v>9</x:v>
      </x:c>
      <x:c r="B77" t="str">
        <x:v>5030</x:v>
      </x:c>
      <x:c r="C77" t="str">
        <x:v>Περιοδοντολογία</x:v>
      </x:c>
      <x:c r="D77" s="43" t="str">
        <x:v>ΠΕΡΙΟΔΟΝΤΙΤΙΔΑ ΠΡΟΧΩΡΗΜΕΝΗ</x:v>
      </x:c>
      <x:c r="E77" s="43" t="str">
        <x:v>Advanced periodontitis</x:v>
      </x:c>
      <x:c r="F77" s="43" t="str">
        <x:v>Fortgeschrittene Parodontitis</x:v>
      </x:c>
      <x:c r="G77" s="43" t="str">
        <x:v>Patient-level / history only</x:v>
      </x:c>
      <x:c r="H77" s="43" t="str">
        <x:v>Patient / quadrant / periodontal chart</x:v>
      </x:c>
      <x:c r="I77" s="43" t="str">
        <x:v>none</x:v>
      </x:c>
      <x:c r="J77" s="43" t="str">
        <x:v>periodontal</x:v>
      </x:c>
      <x:c r="K77" s="94" t="str">
        <x:v>#B34FA2</x:v>
      </x:c>
      <x:c r="L77" s="43" t="str">
        <x:v>High</x:v>
      </x:c>
      <x:c r="M77" s="43" t="str">
        <x:v>Medium</x:v>
      </x:c>
      <x:c r="N77" s="43" t="str">
        <x:v>Periodontology group; exact target varies; Exact catalogue translation</x:v>
      </x:c>
    </x:row>
    <x:row r="78">
      <x:c r="A78" t="str">
        <x:v>9</x:v>
      </x:c>
      <x:c r="B78" t="str">
        <x:v>86100</x:v>
      </x:c>
      <x:c r="C78" t="str">
        <x:v>Περιοδοντολογία</x:v>
      </x:c>
      <x:c r="D78" s="43" t="str">
        <x:v>Συντ. θεραπεία περιοδοντίτιδας ανά ημιμόριο 1-4</x:v>
      </x:c>
      <x:c r="E78" s="43" t="str">
        <x:v>Conservative periodontitis treatment per half-arch 1–4</x:v>
      </x:c>
      <x:c r="F78" s="43" t="str">
        <x:v>Konservative Parodontitisbehandlung pro Kieferhälfte 1–4</x:v>
      </x:c>
      <x:c r="G78" s="43" t="str">
        <x:v>Patient-level / history only</x:v>
      </x:c>
      <x:c r="H78" s="43" t="str">
        <x:v>Patient / quadrant / periodontal chart</x:v>
      </x:c>
      <x:c r="I78" s="43" t="str">
        <x:v>none</x:v>
      </x:c>
      <x:c r="J78" s="43" t="str">
        <x:v>periodontal</x:v>
      </x:c>
      <x:c r="K78" s="94" t="str">
        <x:v>#B34FA2</x:v>
      </x:c>
      <x:c r="L78" s="43" t="str">
        <x:v>High</x:v>
      </x:c>
      <x:c r="M78" s="43" t="str">
        <x:v>Medium</x:v>
      </x:c>
      <x:c r="N78" s="43" t="str">
        <x:v>Periodontology group; exact target varies; Exact catalogue translation</x:v>
      </x:c>
    </x:row>
    <x:row r="79">
      <x:c r="A79" t="str">
        <x:v>9</x:v>
      </x:c>
      <x:c r="B79" t="str">
        <x:v>86104</x:v>
      </x:c>
      <x:c r="C79" t="str">
        <x:v>Περιοδοντολογία</x:v>
      </x:c>
      <x:c r="D79" s="43" t="str">
        <x:v>Συντ. θεραπεία περιοδοντίτιδας ανά ημιμόριο 2-3</x:v>
      </x:c>
      <x:c r="E79" s="43" t="str">
        <x:v>Conservative periodontitis treatment per half-arch 2–3</x:v>
      </x:c>
      <x:c r="F79" s="43" t="str">
        <x:v>Konservative Parodontitisbehandlung pro Kieferhälfte 2–3</x:v>
      </x:c>
      <x:c r="G79" s="43" t="str">
        <x:v>Patient-level / history only</x:v>
      </x:c>
      <x:c r="H79" s="43" t="str">
        <x:v>Patient / quadrant / periodontal chart</x:v>
      </x:c>
      <x:c r="I79" s="43" t="str">
        <x:v>none</x:v>
      </x:c>
      <x:c r="J79" s="43" t="str">
        <x:v>periodontal</x:v>
      </x:c>
      <x:c r="K79" s="94" t="str">
        <x:v>#B34FA2</x:v>
      </x:c>
      <x:c r="L79" s="43" t="str">
        <x:v>High</x:v>
      </x:c>
      <x:c r="M79" s="43" t="str">
        <x:v>Medium</x:v>
      </x:c>
      <x:c r="N79" s="43" t="str">
        <x:v>Periodontology group; exact target varies; Exact catalogue translation</x:v>
      </x:c>
    </x:row>
    <x:row r="80">
      <x:c r="A80" t="str">
        <x:v>9</x:v>
      </x:c>
      <x:c r="B80" t="str">
        <x:v>86099</x:v>
      </x:c>
      <x:c r="C80" t="str">
        <x:v>Περιοδοντολογία</x:v>
      </x:c>
      <x:c r="D80" s="43" t="str">
        <x:v>Συντ. θεραπεία περιοδοντίτιδας ανά τεταρτημόριο 1</x:v>
      </x:c>
      <x:c r="E80" s="43" t="str">
        <x:v>Conservative periodontitis treatment per quadrant 1</x:v>
      </x:c>
      <x:c r="F80" s="43" t="str">
        <x:v>Konservative Parodontitisbehandlung pro Quadrant 1</x:v>
      </x:c>
      <x:c r="G80" s="43" t="str">
        <x:v>Patient-level / history only</x:v>
      </x:c>
      <x:c r="H80" s="43" t="str">
        <x:v>Patient / quadrant / periodontal chart</x:v>
      </x:c>
      <x:c r="I80" s="43" t="str">
        <x:v>none</x:v>
      </x:c>
      <x:c r="J80" s="43" t="str">
        <x:v>periodontal</x:v>
      </x:c>
      <x:c r="K80" s="94" t="str">
        <x:v>#B34FA2</x:v>
      </x:c>
      <x:c r="L80" s="43" t="str">
        <x:v>High</x:v>
      </x:c>
      <x:c r="M80" s="43" t="str">
        <x:v>Medium</x:v>
      </x:c>
      <x:c r="N80" s="43" t="str">
        <x:v>Periodontology group; exact target varies; Exact catalogue translation</x:v>
      </x:c>
    </x:row>
    <x:row r="81">
      <x:c r="A81" t="str">
        <x:v>9</x:v>
      </x:c>
      <x:c r="B81" t="str">
        <x:v>86101</x:v>
      </x:c>
      <x:c r="C81" t="str">
        <x:v>Περιοδοντολογία</x:v>
      </x:c>
      <x:c r="D81" s="43" t="str">
        <x:v>Συντ. θεραπεία περιοδοντίτιδας ανά τεταρτημόριο 2</x:v>
      </x:c>
      <x:c r="E81" s="43" t="str">
        <x:v>Conservative periodontitis treatment per quadrant 2</x:v>
      </x:c>
      <x:c r="F81" s="43" t="str">
        <x:v>Konservative Parodontitisbehandlung pro Quadrant 2</x:v>
      </x:c>
      <x:c r="G81" s="43" t="str">
        <x:v>Patient-level / history only</x:v>
      </x:c>
      <x:c r="H81" s="43" t="str">
        <x:v>Patient / quadrant / periodontal chart</x:v>
      </x:c>
      <x:c r="I81" s="43" t="str">
        <x:v>none</x:v>
      </x:c>
      <x:c r="J81" s="43" t="str">
        <x:v>periodontal</x:v>
      </x:c>
      <x:c r="K81" s="94" t="str">
        <x:v>#B34FA2</x:v>
      </x:c>
      <x:c r="L81" s="43" t="str">
        <x:v>High</x:v>
      </x:c>
      <x:c r="M81" s="43" t="str">
        <x:v>Medium</x:v>
      </x:c>
      <x:c r="N81" s="43" t="str">
        <x:v>Periodontology group; exact target varies; Exact catalogue translation</x:v>
      </x:c>
    </x:row>
    <x:row r="82">
      <x:c r="A82" t="str">
        <x:v>9</x:v>
      </x:c>
      <x:c r="B82" t="str">
        <x:v>86102</x:v>
      </x:c>
      <x:c r="C82" t="str">
        <x:v>Περιοδοντολογία</x:v>
      </x:c>
      <x:c r="D82" s="43" t="str">
        <x:v>Συντ. θεραπεία περιοδοντίτιδας ανά τεταρτημόριο 3</x:v>
      </x:c>
      <x:c r="E82" s="43" t="str">
        <x:v>Conservative periodontitis treatment per quadrant 3</x:v>
      </x:c>
      <x:c r="F82" s="43" t="str">
        <x:v>Konservative Parodontitisbehandlung pro Quadrant 3</x:v>
      </x:c>
      <x:c r="G82" s="43" t="str">
        <x:v>Patient-level / history only</x:v>
      </x:c>
      <x:c r="H82" s="43" t="str">
        <x:v>Patient / quadrant / periodontal chart</x:v>
      </x:c>
      <x:c r="I82" s="43" t="str">
        <x:v>none</x:v>
      </x:c>
      <x:c r="J82" s="43" t="str">
        <x:v>periodontal</x:v>
      </x:c>
      <x:c r="K82" s="94" t="str">
        <x:v>#B34FA2</x:v>
      </x:c>
      <x:c r="L82" s="43" t="str">
        <x:v>High</x:v>
      </x:c>
      <x:c r="M82" s="43" t="str">
        <x:v>Medium</x:v>
      </x:c>
      <x:c r="N82" s="43" t="str">
        <x:v>Periodontology group; exact target varies; Exact catalogue translation</x:v>
      </x:c>
    </x:row>
    <x:row r="83">
      <x:c r="A83" t="str">
        <x:v>9</x:v>
      </x:c>
      <x:c r="B83" t="str">
        <x:v>86103</x:v>
      </x:c>
      <x:c r="C83" t="str">
        <x:v>Περιοδοντολογία</x:v>
      </x:c>
      <x:c r="D83" s="43" t="str">
        <x:v>Συντ. θεραπεία περιοδοντίτιδας ανά τεταρτημόριο 4</x:v>
      </x:c>
      <x:c r="E83" s="43" t="str">
        <x:v>Conservative periodontitis treatment per quadrant 4</x:v>
      </x:c>
      <x:c r="F83" s="43" t="str">
        <x:v>Konservative Parodontitisbehandlung pro Quadrant 4</x:v>
      </x:c>
      <x:c r="G83" s="43" t="str">
        <x:v>Patient-level / history only</x:v>
      </x:c>
      <x:c r="H83" s="43" t="str">
        <x:v>Patient / quadrant / periodontal chart</x:v>
      </x:c>
      <x:c r="I83" s="43" t="str">
        <x:v>none</x:v>
      </x:c>
      <x:c r="J83" s="43" t="str">
        <x:v>periodontal</x:v>
      </x:c>
      <x:c r="K83" s="94" t="str">
        <x:v>#B34FA2</x:v>
      </x:c>
      <x:c r="L83" s="43" t="str">
        <x:v>High</x:v>
      </x:c>
      <x:c r="M83" s="43" t="str">
        <x:v>Medium</x:v>
      </x:c>
      <x:c r="N83" s="43" t="str">
        <x:v>Periodontology group; exact target varies; Exact catalogue translation</x:v>
      </x:c>
    </x:row>
    <x:row r="84">
      <x:c r="A84" t="str">
        <x:v>9</x:v>
      </x:c>
      <x:c r="B84" t="str">
        <x:v>86115</x:v>
      </x:c>
      <x:c r="C84" t="str">
        <x:v>Περιοδοντολογία</x:v>
      </x:c>
      <x:c r="D84" s="43" t="str">
        <x:v>Τοποθέτηση CHX</x:v>
      </x:c>
      <x:c r="E84" s="43" t="str">
        <x:v>Placement of CHX</x:v>
      </x:c>
      <x:c r="F84" s="43" t="str">
        <x:v>Einbringen von CHX</x:v>
      </x:c>
      <x:c r="G84" s="43" t="str">
        <x:v>Patient-level / history only</x:v>
      </x:c>
      <x:c r="H84" s="43" t="str">
        <x:v>Patient / quadrant / periodontal chart</x:v>
      </x:c>
      <x:c r="I84" s="43" t="str">
        <x:v>none</x:v>
      </x:c>
      <x:c r="J84" s="43" t="str">
        <x:v>periodontal</x:v>
      </x:c>
      <x:c r="K84" s="94" t="str">
        <x:v>#B34FA2</x:v>
      </x:c>
      <x:c r="L84" s="43" t="str">
        <x:v>Medium</x:v>
      </x:c>
      <x:c r="M84" s="43" t="str">
        <x:v>Medium</x:v>
      </x:c>
      <x:c r="N84" s="43" t="str">
        <x:v>Periodontology group; exact target varies; Phrase-based clinical draft; language review recommended</x:v>
      </x:c>
    </x:row>
    <x:row r="85">
      <x:c r="A85" t="str">
        <x:v>9</x:v>
      </x:c>
      <x:c r="B85" t="str">
        <x:v>86189</x:v>
      </x:c>
      <x:c r="C85" t="str">
        <x:v>Περιοδοντολογία</x:v>
      </x:c>
      <x:c r="D85" s="43" t="str">
        <x:v>Τοποθέτηση Periocline</x:v>
      </x:c>
      <x:c r="E85" s="43" t="str">
        <x:v>Placement of Periocline</x:v>
      </x:c>
      <x:c r="F85" s="43" t="str">
        <x:v>Einbringen von Periocline</x:v>
      </x:c>
      <x:c r="G85" s="43" t="str">
        <x:v>Patient-level / history only</x:v>
      </x:c>
      <x:c r="H85" s="43" t="str">
        <x:v>Patient / quadrant / periodontal chart</x:v>
      </x:c>
      <x:c r="I85" s="43" t="str">
        <x:v>none</x:v>
      </x:c>
      <x:c r="J85" s="43" t="str">
        <x:v>periodontal</x:v>
      </x:c>
      <x:c r="K85" s="94" t="str">
        <x:v>#B34FA2</x:v>
      </x:c>
      <x:c r="L85" s="43" t="str">
        <x:v>Medium</x:v>
      </x:c>
      <x:c r="M85" s="43" t="str">
        <x:v>Medium</x:v>
      </x:c>
      <x:c r="N85" s="43" t="str">
        <x:v>Periodontology group; exact target varies; Phrase-based clinical draft; language review recommended</x:v>
      </x:c>
    </x:row>
    <x:row r="86">
      <x:c r="A86" t="str">
        <x:v>9</x:v>
      </x:c>
      <x:c r="B86" t="str">
        <x:v>5065</x:v>
      </x:c>
      <x:c r="C86" t="str">
        <x:v>Περιοδοντολογία</x:v>
      </x:c>
      <x:c r="D86" s="43" t="str">
        <x:v>Recall</x:v>
      </x:c>
      <x:c r="E86" s="43" t="str">
        <x:v>Recall</x:v>
      </x:c>
      <x:c r="F86" s="43" t="str">
        <x:v>Recall</x:v>
      </x:c>
      <x:c r="G86" s="43" t="str">
        <x:v>Patient-level / history only</x:v>
      </x:c>
      <x:c r="H86" s="43" t="str">
        <x:v>Patient / quadrant / periodontal chart</x:v>
      </x:c>
      <x:c r="I86" s="43" t="str">
        <x:v>none</x:v>
      </x:c>
      <x:c r="J86" s="43" t="str">
        <x:v>periodontal</x:v>
      </x:c>
      <x:c r="K86" s="94" t="str">
        <x:v>#B34FA2</x:v>
      </x:c>
      <x:c r="L86" s="43" t="str">
        <x:v>High</x:v>
      </x:c>
      <x:c r="M86" s="43" t="str">
        <x:v>Medium</x:v>
      </x:c>
      <x:c r="N86" s="43" t="str">
        <x:v>Periodontology group; exact target varies; Exact catalogue translation</x:v>
      </x:c>
    </x:row>
    <x:row r="87">
      <x:c r="A87" t="str">
        <x:v>9</x:v>
      </x:c>
      <x:c r="B87" t="str">
        <x:v>86134</x:v>
      </x:c>
      <x:c r="C87" t="str">
        <x:v>Περιοδοντολογία</x:v>
      </x:c>
      <x:c r="D87" s="43" t="str">
        <x:v>Reevaluation</x:v>
      </x:c>
      <x:c r="E87" s="43" t="str">
        <x:v>Re-evaluation</x:v>
      </x:c>
      <x:c r="F87" s="43" t="str">
        <x:v>Reevaluation</x:v>
      </x:c>
      <x:c r="G87" s="43" t="str">
        <x:v>Patient-level / history only</x:v>
      </x:c>
      <x:c r="H87" s="43" t="str">
        <x:v>Patient / quadrant / periodontal chart</x:v>
      </x:c>
      <x:c r="I87" s="43" t="str">
        <x:v>none</x:v>
      </x:c>
      <x:c r="J87" s="43" t="str">
        <x:v>periodontal</x:v>
      </x:c>
      <x:c r="K87" s="94" t="str">
        <x:v>#B34FA2</x:v>
      </x:c>
      <x:c r="L87" s="43" t="str">
        <x:v>High</x:v>
      </x:c>
      <x:c r="M87" s="43" t="str">
        <x:v>Medium</x:v>
      </x:c>
      <x:c r="N87" s="43" t="str">
        <x:v>Periodontology group; exact target varies; Exact catalogue translation</x:v>
      </x:c>
    </x:row>
    <x:row r="88">
      <x:c r="A88" t="str">
        <x:v>13</x:v>
      </x:c>
      <x:c r="B88" t="str">
        <x:v>86138</x:v>
      </x:c>
      <x:c r="C88" t="str">
        <x:v>Οδοντ. Χειρουργική 2</x:v>
      </x:c>
      <x:c r="D88" s="43" t="str">
        <x:v>Ουδέτερο στρώμα</x:v>
      </x:c>
      <x:c r="E88" s="43" t="str">
        <x:v>Liner/base</x:v>
      </x:c>
      <x:c r="F88" s="43" t="str">
        <x:v>Unterfüllung</x:v>
      </x:c>
      <x:c r="G88" s="43" t="str">
        <x:v>Patient-level / history only</x:v>
      </x:c>
      <x:c r="H88" s="43" t="str">
        <x:v>Patient</x:v>
      </x:c>
      <x:c r="I88" s="43" t="str">
        <x:v>none</x:v>
      </x:c>
      <x:c r="J88" s="43" t="str">
        <x:v>general-note</x:v>
      </x:c>
      <x:c r="K88" s="96" t="str">
        <x:v>#5B6BC0</x:v>
      </x:c>
      <x:c r="L88" s="43" t="str">
        <x:v>Medium</x:v>
      </x:c>
      <x:c r="M88" s="43" t="str">
        <x:v>Needs review</x:v>
      </x:c>
      <x:c r="N88" s="43" t="str">
        <x:v>Uncategorized legacy item; safe patient-level fallback; Phrase-based clinical draft; language review recommended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c4bf6ebf45e94b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32" hidden="0" customWidth="1"/>
    <x:col min="5" max="5" width="16" hidden="0" customWidth="1"/>
    <x:col min="6" max="6" width="16" hidden="0" customWidth="1"/>
    <x:col min="7" max="7" width="22" hidden="0" customWidth="1"/>
    <x:col min="8" max="8" width="10" hidden="0" customWidth="1"/>
    <x:col min="9" max="9" width="18" hidden="0" customWidth="1"/>
    <x:col min="10" max="10" width="46" hidden="0" customWidth="1"/>
  </x:cols>
  <x:sheetData>
    <x:row r="1" ht="25" customHeight="1">
      <x:c r="A1" s="4" t="str">
        <x:v>Therapy Groups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5" customHeight="1">
      <x:c r="A3" s="13" t="str">
        <x:v>Imported groups keep their DentalWin source colours. Procedure counts and proposed bilingual labels are shown alongside the legacy categories that still need cleanup.</x:v>
      </x:c>
      <x:c r="B3" s="14"/>
      <x:c r="C3" s="14"/>
      <x:c r="D3" s="14"/>
      <x:c r="E3" s="14"/>
      <x:c r="F3" s="14"/>
      <x:c r="G3" s="14"/>
      <x:c r="H3" s="14"/>
      <x:c r="I3" s="14"/>
      <x:c r="J3" s="15"/>
    </x:row>
    <x:row r="5" ht="36" customHeight="1">
      <x:c r="A5" s="20" t="str">
        <x:v>Source ID</x:v>
      </x:c>
      <x:c r="B5" s="20" t="str">
        <x:v>Greek source name</x:v>
      </x:c>
      <x:c r="C5" s="20" t="str">
        <x:v>English draft</x:v>
      </x:c>
      <x:c r="D5" s="20" t="str">
        <x:v>German draft</x:v>
      </x:c>
      <x:c r="E5" s="20" t="str">
        <x:v>Source colour</x:v>
      </x:c>
      <x:c r="F5" s="20" t="str">
        <x:v>Procedure count</x:v>
      </x:c>
      <x:c r="G5" s="20" t="str">
        <x:v>Suggested default colour</x:v>
      </x:c>
      <x:c r="H5" s="20" t="str">
        <x:v>Hidden</x:v>
      </x:c>
      <x:c r="I5" s="20" t="str">
        <x:v>Review status</x:v>
      </x:c>
      <x:c r="J5" s="20" t="str">
        <x:v>Notes</x:v>
      </x:c>
    </x:row>
    <x:row r="6">
      <x:c r="A6" t="str">
        <x:v>1</x:v>
      </x:c>
      <x:c r="B6" t="str">
        <x:v>Οδον. Χειρουργική 1</x:v>
      </x:c>
      <x:c r="C6" t="str">
        <x:v>Operative dentistry 1</x:v>
      </x:c>
      <x:c r="D6" t="str">
        <x:v>Zahnerhaltung 1</x:v>
      </x:c>
      <x:c r="E6" s="99" t="str">
        <x:v>#0F8B8D</x:v>
      </x:c>
      <x:c r="F6" s="100" t="n">
        <x:f>COUNTIF('Catalogue Audit'!$A$6:$A$284,A6)</x:f>
        <x:v>25</x:v>
      </x:c>
      <x:c r="G6" s="99" t="str">
        <x:v>#0F8B8D</x:v>
      </x:c>
      <x:c r="H6" s="97" t="b">
        <x:v>0</x:v>
      </x:c>
      <x:c r="I6" s="101" t="str">
        <x:v>Draft ready</x:v>
      </x:c>
      <x:c r="J6" t="str">
        <x:v>DentalWin source colour retained as the default.</x:v>
      </x:c>
    </x:row>
    <x:row r="7">
      <x:c r="A7" t="str">
        <x:v>13</x:v>
      </x:c>
      <x:c r="B7" t="str">
        <x:v>Οδοντ. Χειρουργική 2</x:v>
      </x:c>
      <x:c r="C7" t="str">
        <x:v>Operative dentistry 2</x:v>
      </x:c>
      <x:c r="D7" t="str">
        <x:v>Zahnerhaltung 2</x:v>
      </x:c>
      <x:c r="E7" s="103" t="str">
        <x:v>#5B6BC0</x:v>
      </x:c>
      <x:c r="F7" s="100" t="n">
        <x:f>COUNTIF('Catalogue Audit'!$A$6:$A$284,A7)</x:f>
        <x:v>19</x:v>
      </x:c>
      <x:c r="G7" s="103" t="str">
        <x:v>#5B6BC0</x:v>
      </x:c>
      <x:c r="H7" s="97" t="b">
        <x:v>0</x:v>
      </x:c>
      <x:c r="I7" s="101" t="str">
        <x:v>Draft ready</x:v>
      </x:c>
      <x:c r="J7" t="str">
        <x:v>DentalWin source colour retained as the default.</x:v>
      </x:c>
    </x:row>
    <x:row r="8">
      <x:c r="A8" t="str">
        <x:v>2</x:v>
      </x:c>
      <x:c r="B8" t="str">
        <x:v>Ενδοδοντία</x:v>
      </x:c>
      <x:c r="C8" t="str">
        <x:v>Endodontics</x:v>
      </x:c>
      <x:c r="D8" t="str">
        <x:v>Endodontie</x:v>
      </x:c>
      <x:c r="E8" s="105" t="str">
        <x:v>#246BCE</x:v>
      </x:c>
      <x:c r="F8" s="100" t="n">
        <x:f>COUNTIF('Catalogue Audit'!$A$6:$A$284,A8)</x:f>
        <x:v>23</x:v>
      </x:c>
      <x:c r="G8" s="105" t="str">
        <x:v>#246BCE</x:v>
      </x:c>
      <x:c r="H8" s="97" t="b">
        <x:v>0</x:v>
      </x:c>
      <x:c r="I8" s="101" t="str">
        <x:v>Draft ready</x:v>
      </x:c>
      <x:c r="J8" t="str">
        <x:v>DentalWin source colour retained as the default.</x:v>
      </x:c>
    </x:row>
    <x:row r="9">
      <x:c r="A9" t="str">
        <x:v>4</x:v>
      </x:c>
      <x:c r="B9" t="str">
        <x:v>Εξακτική/Χειρουργική</x:v>
      </x:c>
      <x:c r="C9" t="str">
        <x:v>Oral surgery</x:v>
      </x:c>
      <x:c r="D9" t="str">
        <x:v>Oralchirurgie</x:v>
      </x:c>
      <x:c r="E9" s="107" t="str">
        <x:v>#E05D5D</x:v>
      </x:c>
      <x:c r="F9" s="100" t="n">
        <x:f>COUNTIF('Catalogue Audit'!$A$6:$A$284,A9)</x:f>
        <x:v>23</x:v>
      </x:c>
      <x:c r="G9" s="107" t="str">
        <x:v>#E05D5D</x:v>
      </x:c>
      <x:c r="H9" s="97" t="b">
        <x:v>0</x:v>
      </x:c>
      <x:c r="I9" s="101" t="str">
        <x:v>Draft ready</x:v>
      </x:c>
      <x:c r="J9" t="str">
        <x:v>DentalWin source colour retained as the default.</x:v>
      </x:c>
    </x:row>
    <x:row r="10">
      <x:c r="A10" t="str">
        <x:v>5</x:v>
      </x:c>
      <x:c r="B10" t="str">
        <x:v>Ακίνητη Προσθετική</x:v>
      </x:c>
      <x:c r="C10" t="str">
        <x:v>Fixed prosthodontics</x:v>
      </x:c>
      <x:c r="D10" t="str">
        <x:v>Festsitzende Prothetik</x:v>
      </x:c>
      <x:c r="E10" s="109" t="str">
        <x:v>#2E9D63</x:v>
      </x:c>
      <x:c r="F10" s="100" t="n">
        <x:f>COUNTIF('Catalogue Audit'!$A$6:$A$284,A10)</x:f>
        <x:v>50</x:v>
      </x:c>
      <x:c r="G10" s="109" t="str">
        <x:v>#2E9D63</x:v>
      </x:c>
      <x:c r="H10" s="97" t="b">
        <x:v>0</x:v>
      </x:c>
      <x:c r="I10" s="101" t="str">
        <x:v>Draft ready</x:v>
      </x:c>
      <x:c r="J10" t="str">
        <x:v>DentalWin source colour retained as the default.</x:v>
      </x:c>
    </x:row>
    <x:row r="11">
      <x:c r="A11" t="str">
        <x:v>7</x:v>
      </x:c>
      <x:c r="B11" t="str">
        <x:v>Κινητή Προσθετική</x:v>
      </x:c>
      <x:c r="C11" t="str">
        <x:v>Removable prosthodontics</x:v>
      </x:c>
      <x:c r="D11" t="str">
        <x:v>Herausnehmbare Prothetik</x:v>
      </x:c>
      <x:c r="E11" s="111" t="str">
        <x:v>#E08A1E</x:v>
      </x:c>
      <x:c r="F11" s="100" t="n">
        <x:f>COUNTIF('Catalogue Audit'!$A$6:$A$284,A11)</x:f>
        <x:v>33</x:v>
      </x:c>
      <x:c r="G11" s="111" t="str">
        <x:v>#E08A1E</x:v>
      </x:c>
      <x:c r="H11" s="97" t="b">
        <x:v>0</x:v>
      </x:c>
      <x:c r="I11" s="101" t="str">
        <x:v>Draft ready</x:v>
      </x:c>
      <x:c r="J11" t="str">
        <x:v>DentalWin source colour retained as the default.</x:v>
      </x:c>
    </x:row>
    <x:row r="12">
      <x:c r="A12" t="str">
        <x:v>10</x:v>
      </x:c>
      <x:c r="B12" t="str">
        <x:v>Ορθοδοντική</x:v>
      </x:c>
      <x:c r="C12" t="str">
        <x:v>Orthodontics</x:v>
      </x:c>
      <x:c r="D12" t="str">
        <x:v>Kieferorthopädie</x:v>
      </x:c>
      <x:c r="E12" s="113" t="str">
        <x:v>#477A8B</x:v>
      </x:c>
      <x:c r="F12" s="100" t="n">
        <x:f>COUNTIF('Catalogue Audit'!$A$6:$A$284,A12)</x:f>
        <x:v>3</x:v>
      </x:c>
      <x:c r="G12" s="113" t="str">
        <x:v>#477A8B</x:v>
      </x:c>
      <x:c r="H12" s="97" t="b">
        <x:v>0</x:v>
      </x:c>
      <x:c r="I12" s="101" t="str">
        <x:v>Draft ready</x:v>
      </x:c>
      <x:c r="J12" t="str">
        <x:v>DentalWin source colour retained as the default.</x:v>
      </x:c>
    </x:row>
    <x:row r="13">
      <x:c r="A13" t="str">
        <x:v>9</x:v>
      </x:c>
      <x:c r="B13" t="str">
        <x:v>Περιοδοντολογία</x:v>
      </x:c>
      <x:c r="C13" t="str">
        <x:v>Periodontology</x:v>
      </x:c>
      <x:c r="D13" t="str">
        <x:v>Parodontologie</x:v>
      </x:c>
      <x:c r="E13" s="115" t="str">
        <x:v>#B34FA2</x:v>
      </x:c>
      <x:c r="F13" s="100" t="n">
        <x:f>COUNTIF('Catalogue Audit'!$A$6:$A$284,A13)</x:f>
        <x:v>24</x:v>
      </x:c>
      <x:c r="G13" s="115" t="str">
        <x:v>#B34FA2</x:v>
      </x:c>
      <x:c r="H13" s="97" t="b">
        <x:v>0</x:v>
      </x:c>
      <x:c r="I13" s="101" t="str">
        <x:v>Draft ready</x:v>
      </x:c>
      <x:c r="J13" t="str">
        <x:v>DentalWin source colour retained as the default.</x:v>
      </x:c>
    </x:row>
    <x:row r="14">
      <x:c r="A14" t="str">
        <x:v>11</x:v>
      </x:c>
      <x:c r="B14" t="str">
        <x:v>Εμφυτεύματα</x:v>
      </x:c>
      <x:c r="C14" t="str">
        <x:v>Implantology</x:v>
      </x:c>
      <x:c r="D14" t="str">
        <x:v>Implantologie</x:v>
      </x:c>
      <x:c r="E14" s="117" t="str">
        <x:v>#6D7F2B</x:v>
      </x:c>
      <x:c r="F14" s="100" t="n">
        <x:f>COUNTIF('Catalogue Audit'!$A$6:$A$284,A14)</x:f>
        <x:v>13</x:v>
      </x:c>
      <x:c r="G14" s="117" t="str">
        <x:v>#6D7F2B</x:v>
      </x:c>
      <x:c r="H14" s="97" t="b">
        <x:v>0</x:v>
      </x:c>
      <x:c r="I14" s="101" t="str">
        <x:v>Draft ready</x:v>
      </x:c>
      <x:c r="J14" t="str">
        <x:v>DentalWin source colour retained as the default.</x:v>
      </x:c>
    </x:row>
    <x:row r="15">
      <x:c r="A15" t="str">
        <x:v>12</x:v>
      </x:c>
      <x:c r="B15" t="str">
        <x:v>Πρόληψη</x:v>
      </x:c>
      <x:c r="C15" t="str">
        <x:v>Prevention</x:v>
      </x:c>
      <x:c r="D15" t="str">
        <x:v>Prophylaxe</x:v>
      </x:c>
      <x:c r="E15" s="119" t="str">
        <x:v>#8E6548</x:v>
      </x:c>
      <x:c r="F15" s="100" t="n">
        <x:f>COUNTIF('Catalogue Audit'!$A$6:$A$284,A15)</x:f>
        <x:v>11</x:v>
      </x:c>
      <x:c r="G15" s="119" t="str">
        <x:v>#8E6548</x:v>
      </x:c>
      <x:c r="H15" s="97" t="b">
        <x:v>0</x:v>
      </x:c>
      <x:c r="I15" s="101" t="str">
        <x:v>Draft ready</x:v>
      </x:c>
      <x:c r="J15" t="str">
        <x:v>DentalWin source colour retained as the default.</x:v>
      </x:c>
    </x:row>
    <x:row r="16">
      <x:c r="A16" t="str">
        <x:v>3</x:v>
      </x:c>
      <x:c r="B16" t="str">
        <x:v>Διάγνωση</x:v>
      </x:c>
      <x:c r="C16" t="str">
        <x:v>Diagnosis</x:v>
      </x:c>
      <x:c r="D16" t="str">
        <x:v>Diagnostik</x:v>
      </x:c>
      <x:c r="E16" s="121" t="str">
        <x:v>#7A5AF8</x:v>
      </x:c>
      <x:c r="F16" s="100" t="n">
        <x:f>COUNTIF('Catalogue Audit'!$A$6:$A$284,A16)</x:f>
        <x:v>41</x:v>
      </x:c>
      <x:c r="G16" s="121" t="str">
        <x:v>#7A5AF8</x:v>
      </x:c>
      <x:c r="H16" s="97" t="b">
        <x:v>0</x:v>
      </x:c>
      <x:c r="I16" s="101" t="str">
        <x:v>Draft ready</x:v>
      </x:c>
      <x:c r="J16" t="str">
        <x:v>DentalWin source colour retained as the default.</x:v>
      </x:c>
    </x:row>
    <x:row r="17">
      <x:c r="A17" t="str">
        <x:v>14</x:v>
      </x:c>
      <x:c r="B17" t="str">
        <x:v>Παιδοδοντία</x:v>
      </x:c>
      <x:c r="C17" t="str">
        <x:v>Pediatric dentistry</x:v>
      </x:c>
      <x:c r="D17" t="str">
        <x:v>Kinderzahnheilkunde</x:v>
      </x:c>
      <x:c r="E17" s="123" t="str">
        <x:v>#008F7A</x:v>
      </x:c>
      <x:c r="F17" s="100" t="n">
        <x:f>COUNTIF('Catalogue Audit'!$A$6:$A$284,A17)</x:f>
        <x:v>4</x:v>
      </x:c>
      <x:c r="G17" s="123" t="str">
        <x:v>#008F7A</x:v>
      </x:c>
      <x:c r="H17" s="97" t="b">
        <x:v>0</x:v>
      </x:c>
      <x:c r="I17" s="101" t="str">
        <x:v>Draft ready</x:v>
      </x:c>
      <x:c r="J17" t="str">
        <x:v>DentalWin source colour retained as the default.</x:v>
      </x:c>
    </x:row>
    <x:row r="18">
      <x:c r="A18" t="str">
        <x:v>15</x:v>
      </x:c>
      <x:c r="B18" t="str">
        <x:v>Γενικά</x:v>
      </x:c>
      <x:c r="C18" t="str">
        <x:v>General</x:v>
      </x:c>
      <x:c r="D18" t="str">
        <x:v>Allgemein</x:v>
      </x:c>
      <x:c r="E18" s="125" t="str">
        <x:v>#C05C84</x:v>
      </x:c>
      <x:c r="F18" s="100" t="n">
        <x:f>COUNTIF('Catalogue Audit'!$A$6:$A$284,A18)</x:f>
        <x:v>7</x:v>
      </x:c>
      <x:c r="G18" s="125" t="str">
        <x:v>#C05C84</x:v>
      </x:c>
      <x:c r="H18" s="97" t="b">
        <x:v>1</x:v>
      </x:c>
      <x:c r="I18" s="101" t="str">
        <x:v>Draft ready</x:v>
      </x:c>
      <x:c r="J18" t="str">
        <x:v>DentalWin source colour retained as the default.</x:v>
      </x:c>
    </x:row>
    <x:row r="19">
      <x:c r="A19" t="str">
        <x:v>16</x:v>
      </x:c>
      <x:c r="B19" t="str">
        <x:v>DF260629_CATEGORIES</x:v>
      </x:c>
      <x:c r="C19" t="str">
        <x:v>Legacy placeholder category</x:v>
      </x:c>
      <x:c r="D19" t="str">
        <x:v>Alte Platzhalterkategorie</x:v>
      </x:c>
      <x:c r="E19" s="127" t="str">
        <x:v>#55778C</x:v>
      </x:c>
      <x:c r="F19" s="100" t="n">
        <x:f>COUNTIF('Catalogue Audit'!$A$6:$A$284,A19)</x:f>
        <x:v>0</x:v>
      </x:c>
      <x:c r="G19" s="127" t="str">
        <x:v>#55778C</x:v>
      </x:c>
      <x:c r="H19" s="97" t="b">
        <x:v>1</x:v>
      </x:c>
      <x:c r="I19" s="128" t="str">
        <x:v>Needs review</x:v>
      </x:c>
      <x:c r="J19" t="str">
        <x:v>Legacy category; source colour retained while merge/rename/archive is decided.</x:v>
      </x:c>
    </x:row>
    <x:row r="20">
      <x:c r="A20" t="str">
        <x:v>0</x:v>
      </x:c>
      <x:c r="B20" t="str">
        <x:v>Uncategorized legacy review</x:v>
      </x:c>
      <x:c r="C20" t="str">
        <x:v>Uncategorized legacy review</x:v>
      </x:c>
      <x:c r="D20" t="str">
        <x:v>Nicht kategorisierte Altbestandsprüfung</x:v>
      </x:c>
      <x:c r="E20" s="130" t="str">
        <x:v>#777777</x:v>
      </x:c>
      <x:c r="F20" s="100" t="n">
        <x:f>COUNTIF('Catalogue Audit'!$A$6:$A$284,A20)</x:f>
        <x:v>3</x:v>
      </x:c>
      <x:c r="G20" s="130" t="str">
        <x:v>#777777</x:v>
      </x:c>
      <x:c r="H20" s="97" t="b">
        <x:v>0</x:v>
      </x:c>
      <x:c r="I20" s="128" t="str">
        <x:v>Needs review</x:v>
      </x:c>
      <x:c r="J20" t="str">
        <x:v>Legacy category; source colour retained while merge/rename/archive is decided.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84be24a485e244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16" hidden="0" customWidth="1"/>
    <x:col min="4" max="4" width="23" hidden="0" customWidth="1"/>
    <x:col min="5" max="5" width="31" hidden="0" customWidth="1"/>
    <x:col min="6" max="6" width="20" hidden="0" customWidth="1"/>
    <x:col min="7" max="7" width="36" hidden="0" customWidth="1"/>
    <x:col min="8" max="8" width="50" hidden="0" customWidth="1"/>
  </x:cols>
  <x:sheetData>
    <x:row r="1" ht="25" customHeight="1">
      <x:c r="A1" s="4" t="str">
        <x:v>Icon &amp; Colour Guide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13" t="str">
        <x:v>Controlled vocabulary for current overlays and future icon suggestions. DentalWin group colours remain the actual defaults; colours below are optional reference ideas for deliberate per-treatment overrides.</x:v>
      </x:c>
      <x:c r="B3" s="14"/>
      <x:c r="C3" s="14"/>
      <x:c r="D3" s="14"/>
      <x:c r="E3" s="14"/>
      <x:c r="F3" s="14"/>
      <x:c r="G3" s="14"/>
      <x:c r="H3" s="15"/>
    </x:row>
    <x:row r="5" ht="36" customHeight="1">
      <x:c r="A5" s="20" t="str">
        <x:v>Icon key</x:v>
      </x:c>
      <x:c r="B5" s="20" t="str">
        <x:v>Meaning</x:v>
      </x:c>
      <x:c r="C5" s="20" t="str">
        <x:v>Implemented now</x:v>
      </x:c>
      <x:c r="D5" s="20" t="str">
        <x:v>Typical workflow</x:v>
      </x:c>
      <x:c r="E5" s="20" t="str">
        <x:v>Visual placement</x:v>
      </x:c>
      <x:c r="F5" s="20" t="str">
        <x:v>Suggested default</x:v>
      </x:c>
      <x:c r="G5" s="20" t="str">
        <x:v>Material variants</x:v>
      </x:c>
      <x:c r="H5" s="20" t="str">
        <x:v>Notes</x:v>
      </x:c>
    </x:row>
    <x:row r="6">
      <x:c r="A6" t="str">
        <x:v>none</x:v>
      </x:c>
      <x:c r="B6" s="43" t="str">
        <x:v>No tooth drawing</x:v>
      </x:c>
      <x:c r="C6" s="162" t="str">
        <x:v>Yes</x:v>
      </x:c>
      <x:c r="D6" s="43" t="str">
        <x:v>Patient-level</x:v>
      </x:c>
      <x:c r="E6" s="43" t="str">
        <x:v>Timeline only</x:v>
      </x:c>
      <x:c r="F6" s="163" t="str">
        <x:v>#64748B</x:v>
      </x:c>
      <x:c r="G6" s="43" t="str">
        <x:v>N/A</x:v>
      </x:c>
      <x:c r="H6" s="43" t="str">
        <x:v>Treatment remains in history without a tooth overlay.</x:v>
      </x:c>
    </x:row>
    <x:row r="7">
      <x:c r="A7" t="str">
        <x:v>filling</x:v>
      </x:c>
      <x:c r="B7" s="43" t="str">
        <x:v>Restoration</x:v>
      </x:c>
      <x:c r="C7" s="162" t="str">
        <x:v>Yes</x:v>
      </x:c>
      <x:c r="D7" s="43" t="str">
        <x:v>Surface-based</x:v>
      </x:c>
      <x:c r="E7" s="43" t="str">
        <x:v>Selected surfaces</x:v>
      </x:c>
      <x:c r="F7" s="164" t="str">
        <x:v>#2563EB</x:v>
      </x:c>
      <x:c r="G7" s="43" t="str">
        <x:v>Composite, amalgam, glass ionomer, temporary</x:v>
      </x:c>
      <x:c r="H7" s="43" t="str">
        <x:v>Colour should follow recognised material, then user override.</x:v>
      </x:c>
    </x:row>
    <x:row r="8">
      <x:c r="A8" t="str">
        <x:v>crown</x:v>
      </x:c>
      <x:c r="B8" s="43" t="str">
        <x:v>Crown</x:v>
      </x:c>
      <x:c r="C8" s="162" t="str">
        <x:v>Yes</x:v>
      </x:c>
      <x:c r="D8" s="43" t="str">
        <x:v>Whole tooth</x:v>
      </x:c>
      <x:c r="E8" s="43" t="str">
        <x:v>Crown contour; facial/occlusal/oral</x:v>
      </x:c>
      <x:c r="F8" s="165" t="str">
        <x:v>#7C3AED</x:v>
      </x:c>
      <x:c r="G8" s="43" t="str">
        <x:v>Zirconia, metal-ceramic, ceramic, acrylic, cast metal</x:v>
      </x:c>
      <x:c r="H8" s="43" t="str">
        <x:v>Use full-tooth coverage; do not cover the root.</x:v>
      </x:c>
    </x:row>
    <x:row r="9">
      <x:c r="A9" t="str">
        <x:v>rootCanal</x:v>
      </x:c>
      <x:c r="B9" s="43" t="str">
        <x:v>Root-canal treatment</x:v>
      </x:c>
      <x:c r="C9" s="162" t="str">
        <x:v>Yes</x:v>
      </x:c>
      <x:c r="D9" s="43" t="str">
        <x:v>Whole tooth</x:v>
      </x:c>
      <x:c r="E9" s="43" t="str">
        <x:v>Root path on facial view only</x:v>
      </x:c>
      <x:c r="F9" s="166" t="str">
        <x:v>#0F766E</x:v>
      </x:c>
      <x:c r="G9" s="43" t="str">
        <x:v>Material-independent</x:v>
      </x:c>
      <x:c r="H9" s="43" t="str">
        <x:v>No lingual/oral duplicate is needed.</x:v>
      </x:c>
    </x:row>
    <x:row r="10">
      <x:c r="A10" t="str">
        <x:v>extraction</x:v>
      </x:c>
      <x:c r="B10" s="43" t="str">
        <x:v>Extraction / absent after extraction</x:v>
      </x:c>
      <x:c r="C10" s="162" t="str">
        <x:v>Yes</x:v>
      </x:c>
      <x:c r="D10" s="43" t="str">
        <x:v>Whole tooth</x:v>
      </x:c>
      <x:c r="E10" s="43" t="str">
        <x:v>X / absent-tooth state</x:v>
      </x:c>
      <x:c r="F10" s="167" t="str">
        <x:v>#DC2626</x:v>
      </x:c>
      <x:c r="G10" s="43" t="str">
        <x:v>N/A</x:v>
      </x:c>
      <x:c r="H10" s="43" t="str">
        <x:v>X may remain on the facial and occlusal views.</x:v>
      </x:c>
    </x:row>
    <x:row r="11">
      <x:c r="A11" t="str">
        <x:v>implant</x:v>
      </x:c>
      <x:c r="B11" s="43" t="str">
        <x:v>Implant</x:v>
      </x:c>
      <x:c r="C11" s="162" t="str">
        <x:v>Yes</x:v>
      </x:c>
      <x:c r="D11" s="43" t="str">
        <x:v>Whole tooth</x:v>
      </x:c>
      <x:c r="E11" s="43" t="str">
        <x:v>Implant fixture/root region</x:v>
      </x:c>
      <x:c r="F11" s="168" t="str">
        <x:v>#475569</x:v>
      </x:c>
      <x:c r="G11" s="43" t="str">
        <x:v>Titanium, zirconia, brand variants</x:v>
      </x:c>
      <x:c r="H11" s="43" t="str">
        <x:v>Brand can be stored separately from colour.</x:v>
      </x:c>
    </x:row>
    <x:row r="12">
      <x:c r="A12" t="str">
        <x:v>bridge</x:v>
      </x:c>
      <x:c r="B12" s="43" t="str">
        <x:v>Bridge span and units</x:v>
      </x:c>
      <x:c r="C12" s="162" t="str">
        <x:v>Yes</x:v>
      </x:c>
      <x:c r="D12" s="43" t="str">
        <x:v>Bridge</x:v>
      </x:c>
      <x:c r="E12" s="43" t="str">
        <x:v>Connected multi-tooth units</x:v>
      </x:c>
      <x:c r="F12" s="165" t="str">
        <x:v>#7C3AED</x:v>
      </x:c>
      <x:c r="G12" s="43" t="str">
        <x:v>Crown material variants</x:v>
      </x:c>
      <x:c r="H12" s="43" t="str">
        <x:v>Unit roles: abutment, pontic, cantilever.</x:v>
      </x:c>
    </x:row>
    <x:row r="13">
      <x:c r="A13" t="str">
        <x:v>inlay-onlay</x:v>
      </x:c>
      <x:c r="B13" s="43" t="str">
        <x:v>Inlay / onlay</x:v>
      </x:c>
      <x:c r="C13" s="169" t="str">
        <x:v>Future</x:v>
      </x:c>
      <x:c r="D13" s="43" t="str">
        <x:v>Surface-based</x:v>
      </x:c>
      <x:c r="E13" s="43" t="str">
        <x:v>Occlusal/surface geometry</x:v>
      </x:c>
      <x:c r="F13" s="170" t="str">
        <x:v>#DB2777</x:v>
      </x:c>
      <x:c r="G13" s="43" t="str">
        <x:v>Ceramic, composite, zirconia</x:v>
      </x:c>
      <x:c r="H13" s="43" t="str">
        <x:v>Can reuse surface selection but should have a distinct visual.</x:v>
      </x:c>
    </x:row>
    <x:row r="14">
      <x:c r="A14" t="str">
        <x:v>veneer</x:v>
      </x:c>
      <x:c r="B14" s="43" t="str">
        <x:v>Veneer</x:v>
      </x:c>
      <x:c r="C14" s="169" t="str">
        <x:v>Future</x:v>
      </x:c>
      <x:c r="D14" s="43" t="str">
        <x:v>Whole tooth</x:v>
      </x:c>
      <x:c r="E14" s="43" t="str">
        <x:v>Facial crown surface</x:v>
      </x:c>
      <x:c r="F14" s="171" t="str">
        <x:v>#EC4899</x:v>
      </x:c>
      <x:c r="G14" s="43" t="str">
        <x:v>Porcelain, composite</x:v>
      </x:c>
      <x:c r="H14" s="43" t="str">
        <x:v>Prefer a facial-only shell marker.</x:v>
      </x:c>
    </x:row>
    <x:row r="15">
      <x:c r="A15" t="str">
        <x:v>removable-prosthesis</x:v>
      </x:c>
      <x:c r="B15" s="43" t="str">
        <x:v>Denture / removable component</x:v>
      </x:c>
      <x:c r="C15" s="169" t="str">
        <x:v>Future</x:v>
      </x:c>
      <x:c r="D15" s="43" t="str">
        <x:v>Removable prosthesis</x:v>
      </x:c>
      <x:c r="E15" s="43" t="str">
        <x:v>Arch-level diagram</x:v>
      </x:c>
      <x:c r="F15" s="172" t="str">
        <x:v>#F97316</x:v>
      </x:c>
      <x:c r="G15" s="43" t="str">
        <x:v>Acrylic, thermoplastic, metal framework</x:v>
      </x:c>
      <x:c r="H15" s="43" t="str">
        <x:v>Do not force it into a single-tooth overlay.</x:v>
      </x:c>
    </x:row>
    <x:row r="16">
      <x:c r="A16" t="str">
        <x:v>diagnosis-marker</x:v>
      </x:c>
      <x:c r="B16" s="43" t="str">
        <x:v>Tooth diagnosis</x:v>
      </x:c>
      <x:c r="C16" s="169" t="str">
        <x:v>Future</x:v>
      </x:c>
      <x:c r="D16" s="43" t="str">
        <x:v>Whole tooth</x:v>
      </x:c>
      <x:c r="E16" s="43" t="str">
        <x:v>Small badge or contour</x:v>
      </x:c>
      <x:c r="F16" s="173" t="str">
        <x:v>#D97706</x:v>
      </x:c>
      <x:c r="G16" s="43" t="str">
        <x:v>Caries, lesion, fracture, sensitivity</x:v>
      </x:c>
      <x:c r="H16" s="43" t="str">
        <x:v>Use separate symbols rather than one generic square.</x:v>
      </x:c>
    </x:row>
    <x:row r="17">
      <x:c r="A17" t="str">
        <x:v>caries</x:v>
      </x:c>
      <x:c r="B17" s="43" t="str">
        <x:v>Caries</x:v>
      </x:c>
      <x:c r="C17" s="169" t="str">
        <x:v>Future</x:v>
      </x:c>
      <x:c r="D17" s="43" t="str">
        <x:v>Whole tooth / surface</x:v>
      </x:c>
      <x:c r="E17" s="43" t="str">
        <x:v>Surface or small lesion marker</x:v>
      </x:c>
      <x:c r="F17" s="174" t="str">
        <x:v>#B45309</x:v>
      </x:c>
      <x:c r="G17" s="43" t="str">
        <x:v>N/A</x:v>
      </x:c>
      <x:c r="H17" s="43" t="str">
        <x:v>Can be surface-selectable when known.</x:v>
      </x:c>
    </x:row>
    <x:row r="18">
      <x:c r="A18" t="str">
        <x:v>missing-tooth</x:v>
      </x:c>
      <x:c r="B18" s="43" t="str">
        <x:v>Missing tooth</x:v>
      </x:c>
      <x:c r="C18" s="169" t="str">
        <x:v>Future</x:v>
      </x:c>
      <x:c r="D18" s="43" t="str">
        <x:v>Whole tooth</x:v>
      </x:c>
      <x:c r="E18" s="43" t="str">
        <x:v>Absent-tooth state</x:v>
      </x:c>
      <x:c r="F18" s="175" t="str">
        <x:v>#6B7280</x:v>
      </x:c>
      <x:c r="G18" s="43" t="str">
        <x:v>N/A</x:v>
      </x:c>
      <x:c r="H18" s="43" t="str">
        <x:v>Distinguish pre-existing absence from completed extraction.</x:v>
      </x:c>
    </x:row>
    <x:row r="19">
      <x:c r="A19" t="str">
        <x:v>radiograph</x:v>
      </x:c>
      <x:c r="B19" s="43" t="str">
        <x:v>Imaging</x:v>
      </x:c>
      <x:c r="C19" s="169" t="str">
        <x:v>Future</x:v>
      </x:c>
      <x:c r="D19" s="43" t="str">
        <x:v>Patient-level</x:v>
      </x:c>
      <x:c r="E19" s="43" t="str">
        <x:v>Timeline badge</x:v>
      </x:c>
      <x:c r="F19" s="176" t="str">
        <x:v>#0EA5E9</x:v>
      </x:c>
      <x:c r="G19" s="43" t="str">
        <x:v>Periapical, bitewing, panoramic, CBCT</x:v>
      </x:c>
      <x:c r="H19" s="43" t="str">
        <x:v>Not a tooth overlay unless linked to a tooth record.</x:v>
      </x:c>
    </x:row>
    <x:row r="20">
      <x:c r="A20" t="str">
        <x:v>periodontal</x:v>
      </x:c>
      <x:c r="B20" s="43" t="str">
        <x:v>Periodontal work</x:v>
      </x:c>
      <x:c r="C20" s="169" t="str">
        <x:v>Future</x:v>
      </x:c>
      <x:c r="D20" s="43" t="str">
        <x:v>Patient/quadrant</x:v>
      </x:c>
      <x:c r="E20" s="43" t="str">
        <x:v>Chart/quadrant badge</x:v>
      </x:c>
      <x:c r="F20" s="177" t="str">
        <x:v>#059669</x:v>
      </x:c>
      <x:c r="G20" s="43" t="str">
        <x:v>N/A</x:v>
      </x:c>
      <x:c r="H20" s="43" t="str">
        <x:v>Better represented in a periodontal chart than on one tooth.</x:v>
      </x:c>
    </x:row>
    <x:row r="21">
      <x:c r="A21" t="str">
        <x:v>orthodontic</x:v>
      </x:c>
      <x:c r="B21" s="43" t="str">
        <x:v>Orthodontic work</x:v>
      </x:c>
      <x:c r="C21" s="169" t="str">
        <x:v>Future</x:v>
      </x:c>
      <x:c r="D21" s="43" t="str">
        <x:v>Patient/arch</x:v>
      </x:c>
      <x:c r="E21" s="43" t="str">
        <x:v>Arch badge</x:v>
      </x:c>
      <x:c r="F21" s="178" t="str">
        <x:v>#9333EA</x:v>
      </x:c>
      <x:c r="G21" s="43" t="str">
        <x:v>Appliance-specific</x:v>
      </x:c>
      <x:c r="H21" s="43" t="str">
        <x:v>Retainers and appliances need arch-level representation.</x:v>
      </x:c>
    </x:row>
    <x:row r="22">
      <x:c r="A22" t="str">
        <x:v>splint</x:v>
      </x:c>
      <x:c r="B22" s="43" t="str">
        <x:v>Splint / guard</x:v>
      </x:c>
      <x:c r="C22" s="169" t="str">
        <x:v>Future</x:v>
      </x:c>
      <x:c r="D22" s="43" t="str">
        <x:v>Patient/arch</x:v>
      </x:c>
      <x:c r="E22" s="43" t="str">
        <x:v>Arch badge</x:v>
      </x:c>
      <x:c r="F22" s="179" t="str">
        <x:v>#0891B2</x:v>
      </x:c>
      <x:c r="G22" s="43" t="str">
        <x:v>Hard, soft, sports</x:v>
      </x:c>
      <x:c r="H22" s="43" t="str">
        <x:v>Material/type remains editable.</x:v>
      </x:c>
    </x:row>
    <x:row r="23">
      <x:c r="A23" t="str">
        <x:v>prescription</x:v>
      </x:c>
      <x:c r="B23" s="43" t="str">
        <x:v>Prescription</x:v>
      </x:c>
      <x:c r="C23" s="169" t="str">
        <x:v>Future</x:v>
      </x:c>
      <x:c r="D23" s="43" t="str">
        <x:v>Patient-level</x:v>
      </x:c>
      <x:c r="E23" s="43" t="str">
        <x:v>Timeline badge</x:v>
      </x:c>
      <x:c r="F23" s="163" t="str">
        <x:v>#64748B</x:v>
      </x:c>
      <x:c r="G23" s="43" t="str">
        <x:v>N/A</x:v>
      </x:c>
      <x:c r="H23" s="43" t="str">
        <x:v>No odontogram overlay.</x:v>
      </x:c>
    </x:row>
    <x:row r="24">
      <x:c r="A24" t="str">
        <x:v>referral</x:v>
      </x:c>
      <x:c r="B24" s="43" t="str">
        <x:v>Referral</x:v>
      </x:c>
      <x:c r="C24" s="169" t="str">
        <x:v>Future</x:v>
      </x:c>
      <x:c r="D24" s="43" t="str">
        <x:v>Patient-level</x:v>
      </x:c>
      <x:c r="E24" s="43" t="str">
        <x:v>Timeline badge</x:v>
      </x:c>
      <x:c r="F24" s="163" t="str">
        <x:v>#64748B</x:v>
      </x:c>
      <x:c r="G24" s="43" t="str">
        <x:v>N/A</x:v>
      </x:c>
      <x:c r="H24" s="43" t="str">
        <x:v>No odontogram overlay.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d7bf40f2721646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54" hidden="0" customWidth="1"/>
  </x:cols>
  <x:sheetData>
    <x:row r="1" ht="25" customHeight="1">
      <x:c r="A1" s="4" t="str">
        <x:v>Method, limits, and approval gates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13" t="str">
        <x:v>This sheet explains exactly what the audit did and did not do.</x:v>
      </x:c>
      <x:c r="B3" s="14"/>
      <x:c r="C3" s="14"/>
      <x:c r="D3" s="14"/>
      <x:c r="E3" s="14"/>
      <x:c r="F3" s="14"/>
      <x:c r="G3" s="14"/>
      <x:c r="H3" s="15"/>
    </x:row>
    <x:row r="5" ht="36" customHeight="1">
      <x:c r="A5" s="45" t="str">
        <x:v>Topic</x:v>
      </x:c>
      <x:c r="B5" s="45" t="str">
        <x:v>Method / decision</x:v>
      </x:c>
      <x:c r="C5" s="45" t="str">
        <x:v>Why it matters</x:v>
      </x:c>
    </x:row>
    <x:row r="6">
      <x:c r="A6" s="46" t="str">
        <x:v>Scope</x:v>
      </x:c>
      <x:c r="B6" s="47" t="str">
        <x:v>Read-only extraction of therapy_groups and procedure_catalog from the local Apexo PocketBase SQLite file.</x:v>
      </x:c>
      <x:c r="C6" s="47" t="str">
        <x:v>No patient, appointment, treatment-history, or financial records were included in the workbook.</x:v>
      </x:c>
    </x:row>
    <x:row r="7">
      <x:c r="A7" s="46" t="str">
        <x:v>Source fidelity</x:v>
      </x:c>
      <x:c r="B7" s="47" t="str">
        <x:v>Original Greek group/procedure names, source codes, prices, toothRequired flags, and record IDs were preserved.</x:v>
      </x:c>
      <x:c r="C7" s="47" t="str">
        <x:v>Nothing is silently renamed or discarded.</x:v>
      </x:c>
    </x:row>
    <x:row r="8">
      <x:c r="A8" s="46" t="str">
        <x:v>Workflow classification</x:v>
      </x:c>
      <x:c r="B8" s="47" t="str">
        <x:v>Procedure-specific keywords take priority, then group-level fallbacks. Ambiguous items use a conservative patient-level/history-only or medium-confidence suggestion.</x:v>
      </x:c>
      <x:c r="C8" s="47" t="str">
        <x:v>Prevents the fixed/removable Greek substring error and avoids forcing uncertain items onto teeth.</x:v>
      </x:c>
    </x:row>
    <x:row r="9">
      <x:c r="A9" s="46" t="str">
        <x:v>Surface selection</x:v>
      </x:c>
      <x:c r="B9" s="47" t="str">
        <x:v>Only fillings/restorations and a small related set default to surface-based. Crowns, extractions, implants, and endodontic work default to whole-tooth workflows.</x:v>
      </x:c>
      <x:c r="C9" s="47" t="str">
        <x:v>Reduces unnecessary clicks during daily use.</x:v>
      </x:c>
    </x:row>
    <x:row r="10">
      <x:c r="A10" s="46" t="str">
        <x:v>Overlays</x:v>
      </x:c>
      <x:c r="B10" s="47" t="str">
        <x:v>Current overlay keys match Apexo's implemented enum. Future icon suggestions are a separate design backlog.</x:v>
      </x:c>
      <x:c r="C10" s="47" t="str">
        <x:v>A procedure can be recognised without pretending an unimplemented icon already exists.</x:v>
      </x:c>
    </x:row>
    <x:row r="11">
      <x:c r="A11" s="46" t="str">
        <x:v>Colours</x:v>
      </x:c>
      <x:c r="B11" s="47" t="str">
        <x:v>DentalWin source group colours are retained as the inherited defaults for every treatment. Material/brand recognition does not silently replace them.</x:v>
      </x:c>
      <x:c r="C11" s="47" t="str">
        <x:v>The settings colour picker can deliberately override an individual treatment when wanted.</x:v>
      </x:c>
    </x:row>
    <x:row r="12">
      <x:c r="A12" s="46" t="str">
        <x:v>Translations</x:v>
      </x:c>
      <x:c r="B12" s="47" t="str">
        <x:v>English and German are draft clinical translations. Trade names are preserved. Mixed-language legacy abbreviations and residual Greek fragments are flagged Needs review.</x:v>
      </x:c>
      <x:c r="C12" s="47" t="str">
        <x:v>Prevents an uncertain translation from becoming clinical truth.</x:v>
      </x:c>
    </x:row>
    <x:row r="13">
      <x:c r="A13" s="46" t="str">
        <x:v>Review queue</x:v>
      </x:c>
      <x:c r="B13" s="47" t="str">
        <x:v>A static snapshot includes any non-high mapping confidence, Needs-review translation, or legacy category.</x:v>
      </x:c>
      <x:c r="C13" s="47" t="str">
        <x:v>Makes human review practical without hiding the complete catalogue.</x:v>
      </x:c>
    </x:row>
    <x:row r="14">
      <x:c r="A14" s="46" t="str">
        <x:v>Approval gate</x:v>
      </x:c>
      <x:c r="B14" s="47" t="str">
        <x:v>Do not import these suggestions into the live catalogue until the clinic approves workflow, icon, colour, English, and German fields.</x:v>
      </x:c>
      <x:c r="C14" s="47" t="str">
        <x:v>The audit itself makes no live changes.</x:v>
      </x:c>
    </x:row>
    <x:row r="15">
      <x:c r="A15" s="46" t="str">
        <x:v>Generated</x:v>
      </x:c>
      <x:c r="B15" s="47" t="str">
        <x:v>29 August 2026, Europe/Athens</x:v>
      </x:c>
      <x:c r="C15" s="47" t="str">
        <x:v>Snapshot date for traceability.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c5dbca58b03d4998"/>
  </x:tableParts>
</x:worksheet>
</file>